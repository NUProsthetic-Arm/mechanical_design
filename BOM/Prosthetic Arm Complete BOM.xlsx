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thetic Joint" sheetId="1" r:id="rId5"/>
    <sheet state="visible" name="PCB" sheetId="2" r:id="rId6"/>
  </sheets>
  <definedNames/>
  <calcPr/>
</workbook>
</file>

<file path=xl/sharedStrings.xml><?xml version="1.0" encoding="utf-8"?>
<sst xmlns="http://schemas.openxmlformats.org/spreadsheetml/2006/main" count="712" uniqueCount="329">
  <si>
    <t>Item</t>
  </si>
  <si>
    <t>Number</t>
  </si>
  <si>
    <t>Quantity</t>
  </si>
  <si>
    <t>Link</t>
  </si>
  <si>
    <t>Use</t>
  </si>
  <si>
    <t>Unit Cost</t>
  </si>
  <si>
    <t>Total cost</t>
  </si>
  <si>
    <t>Bulk Cost</t>
  </si>
  <si>
    <t>Bulk amount</t>
  </si>
  <si>
    <t>Mechanical</t>
  </si>
  <si>
    <r>
      <rPr>
        <rFont val="Arial,sans-serif"/>
        <color rgb="FF1155CC"/>
        <u/>
      </rPr>
      <t>Bearing</t>
    </r>
  </si>
  <si>
    <t>4668K145</t>
  </si>
  <si>
    <t>https://www.mcmaster.com/4668K145/</t>
  </si>
  <si>
    <t>-</t>
  </si>
  <si>
    <r>
      <rPr>
        <rFont val="Arial,sans-serif"/>
        <color rgb="FF1155CC"/>
        <u/>
      </rPr>
      <t>Motor</t>
    </r>
  </si>
  <si>
    <t>GL40</t>
  </si>
  <si>
    <t>https://www.cubemars.com/product/gl40-kv70-gimbal-motor.html</t>
  </si>
  <si>
    <r>
      <rPr>
        <rFont val="Arial,sans-serif"/>
        <color rgb="FF1155CC"/>
        <u/>
      </rPr>
      <t>M3x6mm countersink screws</t>
    </r>
  </si>
  <si>
    <t>91294A126</t>
  </si>
  <si>
    <t>https://www.mcmaster.com/91294A126/</t>
  </si>
  <si>
    <t>Motor flange to motor</t>
  </si>
  <si>
    <r>
      <rPr>
        <rFont val="Arial,sans-serif"/>
        <color rgb="FF1155CC"/>
        <u/>
      </rPr>
      <t>M3x8mm countersink screws</t>
    </r>
  </si>
  <si>
    <t>91294A128</t>
  </si>
  <si>
    <t>https://www.mcmaster.com/91294A128/</t>
  </si>
  <si>
    <t>Motor to motor mount</t>
  </si>
  <si>
    <r>
      <rPr>
        <rFont val="Arial,sans-serif"/>
        <color rgb="FF1155CC"/>
        <u/>
      </rPr>
      <t>4-40, ⅜” Screws</t>
    </r>
  </si>
  <si>
    <t>91253A108</t>
  </si>
  <si>
    <t>https://www.mcmaster.com/91253A108/</t>
  </si>
  <si>
    <t>Motor side housing to the top peice</t>
  </si>
  <si>
    <r>
      <rPr>
        <rFont val="Arial,sans-serif"/>
        <color rgb="FF1155CC"/>
        <u/>
      </rPr>
      <t>Thin-Profile hex nut</t>
    </r>
  </si>
  <si>
    <t>90695A038</t>
  </si>
  <si>
    <t>https://www.mcmaster.com/90695A038/</t>
  </si>
  <si>
    <t>Prosthetic nut</t>
  </si>
  <si>
    <r>
      <rPr>
        <rFont val="Arial,sans-serif"/>
        <color rgb="FF1155CC"/>
        <u/>
      </rPr>
      <t>Washer</t>
    </r>
  </si>
  <si>
    <t>92217A626</t>
  </si>
  <si>
    <t>https://www.mcmaster.com/92217A626/</t>
  </si>
  <si>
    <t>Prosthetic washer</t>
  </si>
  <si>
    <r>
      <rPr>
        <rFont val="Arial,sans-serif"/>
        <color rgb="FF1155CC"/>
        <u/>
      </rPr>
      <t>M6x40mm screw</t>
    </r>
  </si>
  <si>
    <t>92467A444</t>
  </si>
  <si>
    <t>https://www.mcmaster.com/92467A444/</t>
  </si>
  <si>
    <t>Prosthetic screw</t>
  </si>
  <si>
    <r>
      <rPr>
        <rFont val="Arial,sans-serif"/>
        <color rgb="FF1155CC"/>
        <u/>
      </rPr>
      <t>4-40, ⅝” screws</t>
    </r>
  </si>
  <si>
    <t>91253A112</t>
  </si>
  <si>
    <t>https://www.mcmaster.com/91253A112/</t>
  </si>
  <si>
    <t>PCB mounting</t>
  </si>
  <si>
    <r>
      <rPr>
        <rFont val="Roboto,sans-serif"/>
        <color rgb="FF1155CC"/>
        <u/>
      </rPr>
      <t>4-40 nylon nuts</t>
    </r>
  </si>
  <si>
    <t>94812A200</t>
  </si>
  <si>
    <t>https://www.mcmaster.com/94812A200/</t>
  </si>
  <si>
    <t>PCB Mounting</t>
  </si>
  <si>
    <t>Electrical</t>
  </si>
  <si>
    <t>6S lipo battery</t>
  </si>
  <si>
    <t>--</t>
  </si>
  <si>
    <t>https://www.amazon.com/Zeee-Graphene-Quadcopter-Helicopter-Airplane/dp/B0CGRBYCY7?crid=3N8KVJLRET1U2&amp;dib=eyJ2IjoiMSJ9.HWNho8PJGLvHmxbTyU2BNmtBBNdlDGAJGH91zaCzK5R_2y8CzHi517wvFosc3y0l3zxbCmKKmt3eapZFlcGtI1X31TtxCoA-NCyKNFvLBFH99DZJsLrv-q2owbOUFced-T6gyCVyWzhk5-kgyHo_NEqa3BaeiK-5g_7jIygQvtoQnl1IP0A6W997Vb49ACTdZTBwtdIpZbwPeJpuPBPob0WLco5QMyOsx6_YkMUz_8h_vxKRZCCBNBVnNNjHtJ3lsMdrcSulgp64L410tgjdHVgnpIANyplLH6d3QWWPb1M.TwKJGSa06zafHWHM7oPLs0ejLhXbcpJg3OT4dYCb1Gg&amp;dib_tag=se&amp;keywords=6S+1500mAh+lipo+battery&amp;qid=1761186904&amp;sprefix=6s+1500mah+lipo+battery%2Caps%2C128&amp;sr=8-6</t>
  </si>
  <si>
    <t>Power</t>
  </si>
  <si>
    <t>Battery voltage monitor</t>
  </si>
  <si>
    <t>https://www.amazon.com/Readytosky-Battery-Monitor-Voltage-Indicator/dp/B01FHIMU0M</t>
  </si>
  <si>
    <t>Monitor battery level</t>
  </si>
  <si>
    <t>Id</t>
  </si>
  <si>
    <t>Designator</t>
  </si>
  <si>
    <t>Footprint</t>
  </si>
  <si>
    <t>Designation</t>
  </si>
  <si>
    <t>C17</t>
  </si>
  <si>
    <t>CAP_CL31_SAM</t>
  </si>
  <si>
    <t>10uF</t>
  </si>
  <si>
    <t>C3</t>
  </si>
  <si>
    <t>PCAP_SVP_E7_PAN</t>
  </si>
  <si>
    <t>25SVPF100M</t>
  </si>
  <si>
    <t>U1</t>
  </si>
  <si>
    <t>LMR33640ADDAR</t>
  </si>
  <si>
    <t>C1,C2,C19</t>
  </si>
  <si>
    <t>C_0805_2012Metric_Pad1.18x1.45mm_HandSolder</t>
  </si>
  <si>
    <t>.1uF</t>
  </si>
  <si>
    <t>C41,C36,C38,C37,C39,C42,C40</t>
  </si>
  <si>
    <t>22uF</t>
  </si>
  <si>
    <t>LED1,LED3,LED4,LED2</t>
  </si>
  <si>
    <t>LED_1206_3216Metric</t>
  </si>
  <si>
    <t>5V_IND</t>
  </si>
  <si>
    <t>U2</t>
  </si>
  <si>
    <t>Teensy40</t>
  </si>
  <si>
    <t>Teensy4.0</t>
  </si>
  <si>
    <t>R1,R2</t>
  </si>
  <si>
    <t>R_0805_2012Metric_Pad1.20x1.40mm_HandSolder</t>
  </si>
  <si>
    <t>4.7k</t>
  </si>
  <si>
    <t>R18</t>
  </si>
  <si>
    <t>2k</t>
  </si>
  <si>
    <t>J11</t>
  </si>
  <si>
    <t>power pins</t>
  </si>
  <si>
    <t>Power_IN</t>
  </si>
  <si>
    <t>J32</t>
  </si>
  <si>
    <t>1x01_P2.54mm</t>
  </si>
  <si>
    <t>Power Good</t>
  </si>
  <si>
    <t>R21</t>
  </si>
  <si>
    <t>1.4k</t>
  </si>
  <si>
    <t>C25,C16</t>
  </si>
  <si>
    <t>220nF</t>
  </si>
  <si>
    <t>R22</t>
  </si>
  <si>
    <t>J9</t>
  </si>
  <si>
    <t>1x02_P2.54mm</t>
  </si>
  <si>
    <t>M3_Current_S_OUT</t>
  </si>
  <si>
    <t>R15,R16</t>
  </si>
  <si>
    <t>RES_ERJB1CFR015U</t>
  </si>
  <si>
    <t>15m</t>
  </si>
  <si>
    <t>R23</t>
  </si>
  <si>
    <t>J7</t>
  </si>
  <si>
    <t>1x03_P2.54mm</t>
  </si>
  <si>
    <t>Motor Out</t>
  </si>
  <si>
    <t>U4</t>
  </si>
  <si>
    <t>LGA14-L_2P59X3P1X0P5_STM</t>
  </si>
  <si>
    <t>LSM6DSVTR</t>
  </si>
  <si>
    <t>C23,C28,C29</t>
  </si>
  <si>
    <t>0.1uF</t>
  </si>
  <si>
    <t>IC8</t>
  </si>
  <si>
    <t>SOIC127P1420X360-21N</t>
  </si>
  <si>
    <t>L6234PD013TR</t>
  </si>
  <si>
    <t>D3</t>
  </si>
  <si>
    <t>P200_SOT-23</t>
  </si>
  <si>
    <t>BAT54S</t>
  </si>
  <si>
    <t>R20,R11</t>
  </si>
  <si>
    <t>STA_RMCF0805_STP-L</t>
  </si>
  <si>
    <t>100k</t>
  </si>
  <si>
    <t>R13</t>
  </si>
  <si>
    <t>6.6k</t>
  </si>
  <si>
    <t>R14</t>
  </si>
  <si>
    <t>4.7K</t>
  </si>
  <si>
    <t>J12</t>
  </si>
  <si>
    <t>1x06_P2.54mm</t>
  </si>
  <si>
    <t>Conn_01x06</t>
  </si>
  <si>
    <t>IC10,IC9</t>
  </si>
  <si>
    <t>PW0008A_L</t>
  </si>
  <si>
    <t>INA240A2PW</t>
  </si>
  <si>
    <t>C18,C32,C27,C22</t>
  </si>
  <si>
    <t>1uF</t>
  </si>
  <si>
    <t>C26</t>
  </si>
  <si>
    <t>10nF</t>
  </si>
  <si>
    <t>L2</t>
  </si>
  <si>
    <t>IND_SCIHP1367-100M</t>
  </si>
  <si>
    <t>10uH</t>
  </si>
  <si>
    <t>C33,C34</t>
  </si>
  <si>
    <t>2.2uF</t>
  </si>
  <si>
    <t>U3</t>
  </si>
  <si>
    <t>VREG_TLV76133DCYR</t>
  </si>
  <si>
    <t>TLV76133DCYR</t>
  </si>
  <si>
    <t>U5</t>
  </si>
  <si>
    <t>DCY0004A-MFG</t>
  </si>
  <si>
    <t>TLV76150DCYR</t>
  </si>
  <si>
    <t>https://www.digikey.com/en/mylists/list/VEB4GAN2P4</t>
  </si>
  <si>
    <t>All transactions with DigiKey, including its affiliates, are subject to DigiKey’s Terms of Use and Conditions of Order</t>
  </si>
  <si>
    <t>https://www.digikey.com/en/terms-and-conditions</t>
  </si>
  <si>
    <t>DigiKey Part Number</t>
  </si>
  <si>
    <t>Manufacturer</t>
  </si>
  <si>
    <t>Manufacturer Part Number</t>
  </si>
  <si>
    <t>Requested Part Number</t>
  </si>
  <si>
    <t>Description</t>
  </si>
  <si>
    <t>Customer Reference</t>
  </si>
  <si>
    <t>Quantity 1</t>
  </si>
  <si>
    <t>Unit Price 1</t>
  </si>
  <si>
    <t>Extended Price 1</t>
  </si>
  <si>
    <t>Minimum Release 1</t>
  </si>
  <si>
    <t>Minimum Order Quantity</t>
  </si>
  <si>
    <t>Standard Pack</t>
  </si>
  <si>
    <t>Availability</t>
  </si>
  <si>
    <t>Pack Type</t>
  </si>
  <si>
    <t>Lead Time</t>
  </si>
  <si>
    <t>Manufacturer Lead Time</t>
  </si>
  <si>
    <t>Country of Origin</t>
  </si>
  <si>
    <t>RoHS Status</t>
  </si>
  <si>
    <t>ECCN</t>
  </si>
  <si>
    <t>HTSUS</t>
  </si>
  <si>
    <t>Moisture Sensitivity Level (MSL)</t>
  </si>
  <si>
    <t>Lead Free Status</t>
  </si>
  <si>
    <t>REACH Status</t>
  </si>
  <si>
    <t>US Import Tariff</t>
  </si>
  <si>
    <t>Pricing Valid Through</t>
  </si>
  <si>
    <t>Product Notes</t>
  </si>
  <si>
    <t>296-TLV76133DCYRCT-ND</t>
  </si>
  <si>
    <t>Texas Instruments</t>
  </si>
  <si>
    <t>IC REG LINEAR 3.3V 1A SOT-223-4</t>
  </si>
  <si>
    <t xml:space="preserve"> </t>
  </si>
  <si>
    <t>0.49000</t>
  </si>
  <si>
    <t>Cut Tape (CT)</t>
  </si>
  <si>
    <t/>
  </si>
  <si>
    <t>12 Weeks</t>
  </si>
  <si>
    <t>United States</t>
  </si>
  <si>
    <t>ROHS3 Compliant</t>
  </si>
  <si>
    <t>EAR99</t>
  </si>
  <si>
    <t>8542.39.0090</t>
  </si>
  <si>
    <t>2  (1 Year)</t>
  </si>
  <si>
    <t>Not Available</t>
  </si>
  <si>
    <t>REACH Unaffected</t>
  </si>
  <si>
    <t>N/A</t>
  </si>
  <si>
    <t>6/10/2026</t>
  </si>
  <si>
    <t>296-LMR33640ADDARCT-ND</t>
  </si>
  <si>
    <t>IC REG BUCK ADJ 4A 8SOPWR</t>
  </si>
  <si>
    <t>2.41000</t>
  </si>
  <si>
    <t>6 Weeks</t>
  </si>
  <si>
    <t>China</t>
  </si>
  <si>
    <t>8542.39.0070</t>
  </si>
  <si>
    <t>1276-2876-1-ND</t>
  </si>
  <si>
    <t>Samsung Electro-Mechanics</t>
  </si>
  <si>
    <t>CL31A106KBHNNNE</t>
  </si>
  <si>
    <t>CAP CER 10UF 50V X5R 1206</t>
  </si>
  <si>
    <t>0.36000</t>
  </si>
  <si>
    <t>31 Weeks</t>
  </si>
  <si>
    <t>Philippines</t>
  </si>
  <si>
    <t>8532.24.0020</t>
  </si>
  <si>
    <t>1  (Unlimited)</t>
  </si>
  <si>
    <t>Lead free</t>
  </si>
  <si>
    <t>1276-6478-1-ND</t>
  </si>
  <si>
    <t>CL21B224KBFNNNG</t>
  </si>
  <si>
    <t>CAP CER 0.22UF 50V X7R 0805</t>
  </si>
  <si>
    <t>0.10000</t>
  </si>
  <si>
    <t>399-C0805F104K1RACAUTOCT-ND</t>
  </si>
  <si>
    <t>KEMET</t>
  </si>
  <si>
    <t>C0805F104K1RACAUTO</t>
  </si>
  <si>
    <t>CAP CER 0805 0.1UF 100VDC X7R</t>
  </si>
  <si>
    <t>0.23000</t>
  </si>
  <si>
    <t>11 Weeks</t>
  </si>
  <si>
    <t>Mexico</t>
  </si>
  <si>
    <t>595-1400-1-ND</t>
  </si>
  <si>
    <t>Signal Transformer</t>
  </si>
  <si>
    <t>SCIHP1367-100M</t>
  </si>
  <si>
    <t>FIXED IND 10UH 10A 18.5 MOHM SMD</t>
  </si>
  <si>
    <t>1.85000</t>
  </si>
  <si>
    <t>20 Weeks</t>
  </si>
  <si>
    <t>8504.50.8000</t>
  </si>
  <si>
    <t>May apply on shipments to the U.S.</t>
  </si>
  <si>
    <t>1276-CL21A226MAYNNWECT-ND</t>
  </si>
  <si>
    <t>CL21A226MAYNNWE</t>
  </si>
  <si>
    <t>CAP CER 22UF 25V X5R 0805</t>
  </si>
  <si>
    <t>0.30000</t>
  </si>
  <si>
    <t>311-1908-1-ND</t>
  </si>
  <si>
    <t>YAGEO</t>
  </si>
  <si>
    <t>CC0805ZKY5V8BB225</t>
  </si>
  <si>
    <t>CAP CER 2.2UF 25V Y5V 0805</t>
  </si>
  <si>
    <t>0.20000</t>
  </si>
  <si>
    <t>24 Weeks</t>
  </si>
  <si>
    <t>Taiwan</t>
  </si>
  <si>
    <t>160-1168-1-ND</t>
  </si>
  <si>
    <t>Lite-On Inc.</t>
  </si>
  <si>
    <t>LTST-C150EKT</t>
  </si>
  <si>
    <t>LED RED CLEAR 1206 SMD</t>
  </si>
  <si>
    <t>14 Weeks</t>
  </si>
  <si>
    <t>8541.41.0000</t>
  </si>
  <si>
    <t>3  (168 Hours)</t>
  </si>
  <si>
    <t>RMCF0805FT2K00CT-ND</t>
  </si>
  <si>
    <t>Stackpole Electronics Inc</t>
  </si>
  <si>
    <t>RMCF0805FT2K00</t>
  </si>
  <si>
    <t>RES 2K OHM 1% 1/8W 0805</t>
  </si>
  <si>
    <t>22 Weeks</t>
  </si>
  <si>
    <t>8533.21.0030</t>
  </si>
  <si>
    <t>311-1.40KCRCT-ND</t>
  </si>
  <si>
    <t>RC0805FR-071K4L</t>
  </si>
  <si>
    <t>RES 1.4K OHM 1% 1/8W 0805</t>
  </si>
  <si>
    <t>18 Weeks</t>
  </si>
  <si>
    <t>311-140CRCT-ND</t>
  </si>
  <si>
    <t>RC0805FR-07140RL</t>
  </si>
  <si>
    <t>RES 140 OHM 1% 1/8W 0805</t>
  </si>
  <si>
    <t>A129757CT-ND</t>
  </si>
  <si>
    <t>TE Connectivity Passive Product</t>
  </si>
  <si>
    <t>CRGCQ0805F4K7</t>
  </si>
  <si>
    <t>RES 4.7K OHM 1% 1/8W 0805</t>
  </si>
  <si>
    <t>17 Weeks</t>
  </si>
  <si>
    <t>Thailand</t>
  </si>
  <si>
    <t>Vendor Undefined</t>
  </si>
  <si>
    <t>399-C0805C103KMRECTUCT-ND</t>
  </si>
  <si>
    <t>C0805C103KMRECTU</t>
  </si>
  <si>
    <t>CAP CER 0805 10NF 63V X7R 10%</t>
  </si>
  <si>
    <t>0.22000</t>
  </si>
  <si>
    <t>13 Weeks</t>
  </si>
  <si>
    <t>4878-BAT54SCT-ND</t>
  </si>
  <si>
    <t>Diotec Semiconductor</t>
  </si>
  <si>
    <t>DIODE ARR SCHOTT 30V 200MA SOT23</t>
  </si>
  <si>
    <t>0.16000</t>
  </si>
  <si>
    <t>1 expected in stock on 12-Jun-2026</t>
  </si>
  <si>
    <t>8541.10.0070</t>
  </si>
  <si>
    <t>565-4786-1-ND</t>
  </si>
  <si>
    <t>Chemi-Con</t>
  </si>
  <si>
    <t>HHXC500ARA101MJA0G</t>
  </si>
  <si>
    <t>CAP ALUMHYB 100UF 20% 50V SMD</t>
  </si>
  <si>
    <t>2.08000</t>
  </si>
  <si>
    <t>40 Weeks</t>
  </si>
  <si>
    <t>Japan</t>
  </si>
  <si>
    <t>8532.22.0020</t>
  </si>
  <si>
    <t>296-45089-1-ND</t>
  </si>
  <si>
    <t>INA240A2PWR</t>
  </si>
  <si>
    <t>IC CURR SENSE 1 CIRCUIT 8TSSOP</t>
  </si>
  <si>
    <t>3.33000</t>
  </si>
  <si>
    <t>8542.33.0001</t>
  </si>
  <si>
    <t>497-2944-5-ND</t>
  </si>
  <si>
    <t>STMicroelectronics</t>
  </si>
  <si>
    <t>L6234PD</t>
  </si>
  <si>
    <t>IC MOTOR DRIVER 7V-52V 20POWERSO</t>
  </si>
  <si>
    <t>7.67000</t>
  </si>
  <si>
    <t>Tube</t>
  </si>
  <si>
    <t>16 Weeks</t>
  </si>
  <si>
    <t>Malaysia</t>
  </si>
  <si>
    <t>497-LSM6DSVTRCT-ND</t>
  </si>
  <si>
    <t>INEMO INERTIAL MODULE: 3D ACCELE</t>
  </si>
  <si>
    <t>4.05000</t>
  </si>
  <si>
    <t>Estimated in-stock date unavailable due to product's market conditions</t>
  </si>
  <si>
    <t>1276-1029-1-ND</t>
  </si>
  <si>
    <t>CL21B105KBFNNNE</t>
  </si>
  <si>
    <t>CAP CER 1UF 50V X7R 0805</t>
  </si>
  <si>
    <t>0.12000</t>
  </si>
  <si>
    <t>296-TLV76150DCYRCT-ND</t>
  </si>
  <si>
    <t>IC REG LINEAR 5V 1A SOT-223-4</t>
  </si>
  <si>
    <t>311-100KARCT-ND</t>
  </si>
  <si>
    <t>RC0805JR-07100KL</t>
  </si>
  <si>
    <t>RES 100K OHM 5% 1/8W 0805</t>
  </si>
  <si>
    <t>311-6.65KCRCT-ND</t>
  </si>
  <si>
    <t>RC0805FR-076K65L</t>
  </si>
  <si>
    <t>RES 6.65K OHM 1% 1/8W 0805</t>
  </si>
  <si>
    <t>13-RC0805JR-13330RLCT-ND</t>
  </si>
  <si>
    <t>RC0805JR-13330RL</t>
  </si>
  <si>
    <t>RES 330 OHM 5% 1/8W 0805</t>
  </si>
  <si>
    <t>1568-15583-ND</t>
  </si>
  <si>
    <t>SparkFun Electronics</t>
  </si>
  <si>
    <t>15583</t>
  </si>
  <si>
    <t>TEENSY 4.0</t>
  </si>
  <si>
    <t>24.17000</t>
  </si>
  <si>
    <t>Bulk</t>
  </si>
  <si>
    <t>5A992C            SC</t>
  </si>
  <si>
    <t>8473.30.1180</t>
  </si>
  <si>
    <t>P5182-ND</t>
  </si>
  <si>
    <t>Panasonic Industry</t>
  </si>
  <si>
    <t>ECA-1HM101</t>
  </si>
  <si>
    <t>CAP ALUM 100UF 20% 50V RADIAL TH</t>
  </si>
  <si>
    <t>0.45000</t>
  </si>
  <si>
    <t>Not Applicable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</si>
</sst>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Roboto"/>
    </font>
    <font>
      <u/>
      <sz val="10.0"/>
      <color rgb="FF1155CC"/>
      <name val="Roboto"/>
    </font>
    <font>
      <sz val="10.0"/>
      <color rgb="FF000000"/>
      <name val="Roboto"/>
    </font>
    <font>
      <u/>
      <sz val="10.0"/>
      <color rgb="FF000000"/>
      <name val="Roboto"/>
    </font>
    <font>
      <b/>
      <color theme="1"/>
      <name val="Helvetica Neue"/>
    </font>
    <font>
      <color theme="1"/>
      <name val="Helvetica Neue"/>
    </font>
    <font>
      <color rgb="FFFF0000"/>
      <name val="Helvetica Neue"/>
    </font>
    <font>
      <color rgb="FF00FF00"/>
      <name val="Helvetica Neue"/>
    </font>
    <font>
      <color rgb="FFCCCCCC"/>
      <name val="Helvetica Neue"/>
    </font>
    <font>
      <color rgb="FFB7B7B7"/>
      <name val="Helvetica Neue"/>
    </font>
    <font>
      <sz val="11.0"/>
      <color theme="1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readingOrder="0" shrinkToFit="0" wrapText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 shrinkToFit="0" wrapText="0"/>
    </xf>
    <xf borderId="1" fillId="2" fontId="14" numFmtId="0" xfId="0" applyAlignment="1" applyBorder="1" applyFill="1" applyFont="1">
      <alignment vertical="top"/>
    </xf>
    <xf borderId="1" fillId="3" fontId="14" numFmtId="0" xfId="0" applyAlignment="1" applyBorder="1" applyFill="1" applyFont="1">
      <alignment horizontal="right" vertical="top"/>
    </xf>
    <xf borderId="1" fillId="0" fontId="15" numFmtId="0" xfId="0" applyAlignment="1" applyBorder="1" applyFont="1">
      <alignment vertical="top"/>
    </xf>
    <xf borderId="1" fillId="0" fontId="15" numFmtId="0" xfId="0" applyAlignment="1" applyBorder="1" applyFont="1">
      <alignment horizontal="right" vertical="top"/>
    </xf>
    <xf borderId="1" fillId="0" fontId="16" numFmtId="0" xfId="0" applyAlignment="1" applyBorder="1" applyFont="1">
      <alignment vertical="top"/>
    </xf>
    <xf borderId="1" fillId="0" fontId="17" numFmtId="0" xfId="0" applyAlignment="1" applyBorder="1" applyFont="1">
      <alignment vertical="top"/>
    </xf>
    <xf borderId="1" fillId="0" fontId="14" numFmtId="0" xfId="0" applyAlignment="1" applyBorder="1" applyFont="1">
      <alignment vertical="top"/>
    </xf>
    <xf borderId="1" fillId="0" fontId="18" numFmtId="0" xfId="0" applyAlignment="1" applyBorder="1" applyFont="1">
      <alignment vertical="top"/>
    </xf>
    <xf borderId="1" fillId="0" fontId="16" numFmtId="0" xfId="0" applyAlignment="1" applyBorder="1" applyFont="1">
      <alignment horizontal="right" vertical="top"/>
    </xf>
    <xf borderId="1" fillId="0" fontId="19" numFmtId="0" xfId="0" applyAlignment="1" applyBorder="1" applyFont="1">
      <alignment vertical="top"/>
    </xf>
    <xf borderId="0" fillId="0" fontId="7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0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cmaster.com/94812A200/" TargetMode="External"/><Relationship Id="rId11" Type="http://schemas.openxmlformats.org/officeDocument/2006/relationships/hyperlink" Target="https://www.mcmaster.com/90695A038/" TargetMode="External"/><Relationship Id="rId22" Type="http://schemas.openxmlformats.org/officeDocument/2006/relationships/hyperlink" Target="https://www.amazon.com/Readytosky-Battery-Monitor-Voltage-Indicator/dp/B01FHIMU0M" TargetMode="External"/><Relationship Id="rId10" Type="http://schemas.openxmlformats.org/officeDocument/2006/relationships/hyperlink" Target="https://www.mcmaster.com/91253A108/" TargetMode="External"/><Relationship Id="rId21" Type="http://schemas.openxmlformats.org/officeDocument/2006/relationships/hyperlink" Target="https://www.amazon.com/Zeee-Graphene-Quadcopter-Helicopter-Airplane/dp/B0CGRBYCY7?crid=3N8KVJLRET1U2&amp;dib=eyJ2IjoiMSJ9.HWNho8PJGLvHmxbTyU2BNmtBBNdlDGAJGH91zaCzK5R_2y8CzHi517wvFosc3y0l3zxbCmKKmt3eapZFlcGtI1X31TtxCoA-NCyKNFvLBFH99DZJsLrv-q2owbOUFced-T6gyCVyWzhk5-kgyHo_NEqa3BaeiK-5g_7jIygQvtoQnl1IP0A6W997Vb49ACTdZTBwtdIpZbwPeJpuPBPob0WLco5QMyOsx6_YkMUz_8h_vxKRZCCBNBVnNNjHtJ3lsMdrcSulgp64L410tgjdHVgnpIANyplLH6d3QWWPb1M.TwKJGSa06zafHWHM7oPLs0ejLhXbcpJg3OT4dYCb1Gg&amp;dib_tag=se&amp;keywords=6S+1500mAh+lipo+battery&amp;qid=1761186904&amp;sprefix=6s+1500mah+lipo+battery%2Caps%2C128&amp;sr=8-6" TargetMode="External"/><Relationship Id="rId13" Type="http://schemas.openxmlformats.org/officeDocument/2006/relationships/hyperlink" Target="https://www.mcmaster.com/92217A626/" TargetMode="External"/><Relationship Id="rId12" Type="http://schemas.openxmlformats.org/officeDocument/2006/relationships/hyperlink" Target="https://www.mcmaster.com/90695A038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mcmaster.com/4668K145/" TargetMode="External"/><Relationship Id="rId2" Type="http://schemas.openxmlformats.org/officeDocument/2006/relationships/hyperlink" Target="https://www.mcmaster.com/4668K145/" TargetMode="External"/><Relationship Id="rId3" Type="http://schemas.openxmlformats.org/officeDocument/2006/relationships/hyperlink" Target="https://www.cubemars.com/product/gl40-kv70-gimbal-motor.html" TargetMode="External"/><Relationship Id="rId4" Type="http://schemas.openxmlformats.org/officeDocument/2006/relationships/hyperlink" Target="https://www.cubemars.com/product/gl40-kv70-gimbal-motor.html" TargetMode="External"/><Relationship Id="rId9" Type="http://schemas.openxmlformats.org/officeDocument/2006/relationships/hyperlink" Target="https://www.mcmaster.com/91253A108/" TargetMode="External"/><Relationship Id="rId15" Type="http://schemas.openxmlformats.org/officeDocument/2006/relationships/hyperlink" Target="https://www.mcmaster.com/92467A444/" TargetMode="External"/><Relationship Id="rId14" Type="http://schemas.openxmlformats.org/officeDocument/2006/relationships/hyperlink" Target="https://www.mcmaster.com/92217A626/" TargetMode="External"/><Relationship Id="rId17" Type="http://schemas.openxmlformats.org/officeDocument/2006/relationships/hyperlink" Target="https://www.mcmaster.com/91253A112/" TargetMode="External"/><Relationship Id="rId16" Type="http://schemas.openxmlformats.org/officeDocument/2006/relationships/hyperlink" Target="https://www.mcmaster.com/92467A444/" TargetMode="External"/><Relationship Id="rId5" Type="http://schemas.openxmlformats.org/officeDocument/2006/relationships/hyperlink" Target="https://www.mcmaster.com/91294A126/" TargetMode="External"/><Relationship Id="rId19" Type="http://schemas.openxmlformats.org/officeDocument/2006/relationships/hyperlink" Target="https://www.mcmaster.com/94812A200/" TargetMode="External"/><Relationship Id="rId6" Type="http://schemas.openxmlformats.org/officeDocument/2006/relationships/hyperlink" Target="https://www.mcmaster.com/91294A126/" TargetMode="External"/><Relationship Id="rId18" Type="http://schemas.openxmlformats.org/officeDocument/2006/relationships/hyperlink" Target="https://www.mcmaster.com/91253A112/" TargetMode="External"/><Relationship Id="rId7" Type="http://schemas.openxmlformats.org/officeDocument/2006/relationships/hyperlink" Target="https://www.mcmaster.com/91294A128/" TargetMode="External"/><Relationship Id="rId8" Type="http://schemas.openxmlformats.org/officeDocument/2006/relationships/hyperlink" Target="https://www.mcmaster.com/91294A128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mylists/list/VEB4GAN2P4" TargetMode="External"/><Relationship Id="rId2" Type="http://schemas.openxmlformats.org/officeDocument/2006/relationships/hyperlink" Target="https://www.digikey.com/en/terms-and-conditions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88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1" t="s">
        <v>11</v>
      </c>
      <c r="C3" s="1">
        <v>2.0</v>
      </c>
      <c r="D3" s="5" t="s">
        <v>12</v>
      </c>
      <c r="F3" s="1">
        <v>35.44</v>
      </c>
      <c r="G3" s="6">
        <f t="shared" ref="G3:G12" si="1">F3*C3</f>
        <v>70.88</v>
      </c>
      <c r="H3" s="1" t="s">
        <v>13</v>
      </c>
      <c r="I3" s="1" t="s">
        <v>13</v>
      </c>
    </row>
    <row r="4">
      <c r="A4" s="4" t="s">
        <v>14</v>
      </c>
      <c r="B4" s="1" t="s">
        <v>15</v>
      </c>
      <c r="C4" s="1">
        <v>1.0</v>
      </c>
      <c r="D4" s="5" t="s">
        <v>16</v>
      </c>
      <c r="F4" s="1">
        <v>97.99</v>
      </c>
      <c r="G4" s="6">
        <f t="shared" si="1"/>
        <v>97.99</v>
      </c>
      <c r="H4" s="1" t="s">
        <v>13</v>
      </c>
      <c r="I4" s="1" t="s">
        <v>13</v>
      </c>
    </row>
    <row r="5">
      <c r="A5" s="4" t="s">
        <v>17</v>
      </c>
      <c r="B5" s="1" t="s">
        <v>18</v>
      </c>
      <c r="C5" s="1">
        <v>4.0</v>
      </c>
      <c r="D5" s="5" t="s">
        <v>19</v>
      </c>
      <c r="E5" s="1" t="s">
        <v>20</v>
      </c>
      <c r="F5" s="6">
        <f t="shared" ref="F5:F8" si="2">H5/I5</f>
        <v>0.0545</v>
      </c>
      <c r="G5" s="6">
        <f t="shared" si="1"/>
        <v>0.218</v>
      </c>
      <c r="H5" s="1">
        <v>5.45</v>
      </c>
      <c r="I5" s="1">
        <v>100.0</v>
      </c>
    </row>
    <row r="6">
      <c r="A6" s="4" t="s">
        <v>21</v>
      </c>
      <c r="B6" s="7" t="s">
        <v>22</v>
      </c>
      <c r="C6" s="1">
        <v>4.0</v>
      </c>
      <c r="D6" s="8" t="s">
        <v>23</v>
      </c>
      <c r="E6" s="1" t="s">
        <v>24</v>
      </c>
      <c r="F6" s="6">
        <f t="shared" si="2"/>
        <v>0.0582</v>
      </c>
      <c r="G6" s="6">
        <f t="shared" si="1"/>
        <v>0.2328</v>
      </c>
      <c r="H6" s="1">
        <v>5.82</v>
      </c>
      <c r="I6" s="1">
        <v>100.0</v>
      </c>
    </row>
    <row r="7">
      <c r="A7" s="4" t="s">
        <v>25</v>
      </c>
      <c r="B7" s="9" t="s">
        <v>26</v>
      </c>
      <c r="C7" s="1">
        <v>6.0</v>
      </c>
      <c r="D7" s="5" t="s">
        <v>27</v>
      </c>
      <c r="E7" s="1" t="s">
        <v>28</v>
      </c>
      <c r="F7" s="6">
        <f t="shared" si="2"/>
        <v>0.1248</v>
      </c>
      <c r="G7" s="6">
        <f t="shared" si="1"/>
        <v>0.7488</v>
      </c>
      <c r="H7" s="1">
        <v>12.48</v>
      </c>
      <c r="I7" s="1">
        <v>100.0</v>
      </c>
    </row>
    <row r="8">
      <c r="A8" s="4" t="s">
        <v>29</v>
      </c>
      <c r="B8" s="10" t="s">
        <v>30</v>
      </c>
      <c r="C8" s="1">
        <v>1.0</v>
      </c>
      <c r="D8" s="11" t="s">
        <v>31</v>
      </c>
      <c r="E8" s="10" t="s">
        <v>32</v>
      </c>
      <c r="F8" s="6">
        <f t="shared" si="2"/>
        <v>0.0538</v>
      </c>
      <c r="G8" s="6">
        <f t="shared" si="1"/>
        <v>0.0538</v>
      </c>
      <c r="H8" s="1">
        <v>5.38</v>
      </c>
      <c r="I8" s="1">
        <v>100.0</v>
      </c>
    </row>
    <row r="9">
      <c r="A9" s="4" t="s">
        <v>33</v>
      </c>
      <c r="B9" s="10" t="s">
        <v>34</v>
      </c>
      <c r="C9" s="1">
        <v>1.0</v>
      </c>
      <c r="D9" s="12" t="s">
        <v>35</v>
      </c>
      <c r="E9" s="10" t="s">
        <v>36</v>
      </c>
      <c r="F9" s="1">
        <v>5.94</v>
      </c>
      <c r="G9" s="6">
        <f t="shared" si="1"/>
        <v>5.94</v>
      </c>
      <c r="H9" s="1">
        <v>5.94</v>
      </c>
      <c r="I9" s="1">
        <v>1.0</v>
      </c>
    </row>
    <row r="10">
      <c r="A10" s="4" t="s">
        <v>37</v>
      </c>
      <c r="B10" s="10" t="s">
        <v>38</v>
      </c>
      <c r="C10" s="1">
        <v>1.0</v>
      </c>
      <c r="D10" s="12" t="s">
        <v>39</v>
      </c>
      <c r="E10" s="10" t="s">
        <v>40</v>
      </c>
      <c r="F10" s="6">
        <f t="shared" ref="F10:F12" si="3">H10/I10</f>
        <v>0.999</v>
      </c>
      <c r="G10" s="6">
        <f t="shared" si="1"/>
        <v>0.999</v>
      </c>
      <c r="H10" s="1">
        <v>9.99</v>
      </c>
      <c r="I10" s="1">
        <v>10.0</v>
      </c>
    </row>
    <row r="11">
      <c r="A11" s="4" t="s">
        <v>41</v>
      </c>
      <c r="B11" s="10" t="s">
        <v>42</v>
      </c>
      <c r="C11" s="1">
        <v>2.0</v>
      </c>
      <c r="D11" s="12" t="s">
        <v>43</v>
      </c>
      <c r="E11" s="10" t="s">
        <v>44</v>
      </c>
      <c r="F11" s="6">
        <f t="shared" si="3"/>
        <v>0.1293</v>
      </c>
      <c r="G11" s="6">
        <f t="shared" si="1"/>
        <v>0.2586</v>
      </c>
      <c r="H11" s="1">
        <v>12.93</v>
      </c>
      <c r="I11" s="1">
        <v>100.0</v>
      </c>
    </row>
    <row r="12">
      <c r="A12" s="13" t="s">
        <v>45</v>
      </c>
      <c r="B12" s="1" t="s">
        <v>46</v>
      </c>
      <c r="C12" s="1">
        <v>2.0</v>
      </c>
      <c r="D12" s="14" t="s">
        <v>47</v>
      </c>
      <c r="E12" s="1" t="s">
        <v>48</v>
      </c>
      <c r="F12" s="6">
        <f t="shared" si="3"/>
        <v>0.1251</v>
      </c>
      <c r="G12" s="6">
        <f t="shared" si="1"/>
        <v>0.2502</v>
      </c>
      <c r="H12" s="1">
        <v>12.51</v>
      </c>
      <c r="I12" s="1">
        <v>100.0</v>
      </c>
    </row>
    <row r="13">
      <c r="G13" s="6">
        <f>SUM(G3:G12)</f>
        <v>177.5712</v>
      </c>
      <c r="H13" s="6">
        <f>SUM(H5:H12) + G3+G4</f>
        <v>239.37</v>
      </c>
    </row>
    <row r="14">
      <c r="A14" s="2" t="s">
        <v>49</v>
      </c>
    </row>
    <row r="15">
      <c r="A15" s="15" t="s">
        <v>50</v>
      </c>
      <c r="B15" s="1" t="s">
        <v>51</v>
      </c>
      <c r="C15" s="1">
        <v>1.0</v>
      </c>
      <c r="D15" s="16" t="s">
        <v>52</v>
      </c>
      <c r="E15" s="1" t="s">
        <v>53</v>
      </c>
      <c r="F15" s="6">
        <f t="shared" ref="F15:F16" si="4">H15/I15</f>
        <v>31.945</v>
      </c>
      <c r="G15" s="6">
        <f t="shared" ref="G15:G16" si="5">F15*C15</f>
        <v>31.945</v>
      </c>
      <c r="H15" s="1">
        <v>63.89</v>
      </c>
      <c r="I15" s="1">
        <v>2.0</v>
      </c>
    </row>
    <row r="16">
      <c r="A16" s="15" t="s">
        <v>54</v>
      </c>
      <c r="B16" s="1" t="s">
        <v>51</v>
      </c>
      <c r="C16" s="1">
        <v>1.0</v>
      </c>
      <c r="D16" s="16" t="s">
        <v>55</v>
      </c>
      <c r="E16" s="1" t="s">
        <v>56</v>
      </c>
      <c r="F16" s="6">
        <f t="shared" si="4"/>
        <v>2.7225</v>
      </c>
      <c r="G16" s="6">
        <f t="shared" si="5"/>
        <v>2.7225</v>
      </c>
      <c r="H16" s="1">
        <v>10.89</v>
      </c>
      <c r="I16" s="1">
        <v>4.0</v>
      </c>
    </row>
    <row r="18">
      <c r="A18" s="10"/>
      <c r="B18" s="10"/>
      <c r="C18" s="10"/>
      <c r="D18" s="10"/>
    </row>
    <row r="19">
      <c r="A19" s="10"/>
      <c r="B19" s="11"/>
      <c r="C19" s="10"/>
      <c r="D19" s="10"/>
    </row>
    <row r="20">
      <c r="A20" s="10"/>
      <c r="B20" s="11"/>
      <c r="C20" s="10"/>
      <c r="D20" s="10"/>
    </row>
    <row r="21">
      <c r="A21" s="10"/>
      <c r="B21" s="11"/>
      <c r="C21" s="10"/>
      <c r="D21" s="10"/>
    </row>
    <row r="22">
      <c r="A22" s="10"/>
      <c r="B22" s="11"/>
      <c r="C22" s="10"/>
      <c r="D22" s="10"/>
    </row>
    <row r="23">
      <c r="A23" s="10"/>
      <c r="B23" s="11"/>
      <c r="C23" s="10"/>
      <c r="D23" s="10"/>
    </row>
  </sheetData>
  <hyperlinks>
    <hyperlink r:id="rId1" ref="A3"/>
    <hyperlink r:id="rId2" ref="D3"/>
    <hyperlink r:id="rId3" ref="A4"/>
    <hyperlink r:id="rId4" ref="D4"/>
    <hyperlink r:id="rId5" ref="A5"/>
    <hyperlink r:id="rId6" ref="D5"/>
    <hyperlink r:id="rId7" ref="A6"/>
    <hyperlink r:id="rId8" ref="D6"/>
    <hyperlink r:id="rId9" ref="A7"/>
    <hyperlink r:id="rId10" ref="D7"/>
    <hyperlink r:id="rId11" ref="A8"/>
    <hyperlink r:id="rId12" ref="D8"/>
    <hyperlink r:id="rId13" ref="A9"/>
    <hyperlink r:id="rId14" ref="D9"/>
    <hyperlink r:id="rId15" ref="A10"/>
    <hyperlink r:id="rId16" ref="D10"/>
    <hyperlink r:id="rId17" ref="A11"/>
    <hyperlink r:id="rId18" ref="D11"/>
    <hyperlink r:id="rId19" ref="A12"/>
    <hyperlink r:id="rId20" ref="D12"/>
    <hyperlink r:id="rId21" ref="D15"/>
    <hyperlink r:id="rId22" ref="D1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</cols>
  <sheetData>
    <row r="1">
      <c r="A1" s="17" t="s">
        <v>57</v>
      </c>
      <c r="B1" s="17" t="s">
        <v>58</v>
      </c>
      <c r="C1" s="17" t="s">
        <v>59</v>
      </c>
      <c r="D1" s="17" t="s">
        <v>2</v>
      </c>
      <c r="E1" s="17" t="s">
        <v>60</v>
      </c>
    </row>
    <row r="2">
      <c r="A2" s="18">
        <v>1.0</v>
      </c>
      <c r="B2" s="19" t="s">
        <v>61</v>
      </c>
      <c r="C2" s="19" t="s">
        <v>62</v>
      </c>
      <c r="D2" s="20">
        <v>1.0</v>
      </c>
      <c r="E2" s="19" t="s">
        <v>63</v>
      </c>
    </row>
    <row r="3">
      <c r="A3" s="18">
        <v>2.0</v>
      </c>
      <c r="B3" s="19" t="s">
        <v>64</v>
      </c>
      <c r="C3" s="19" t="s">
        <v>65</v>
      </c>
      <c r="D3" s="20">
        <v>1.0</v>
      </c>
      <c r="E3" s="21" t="s">
        <v>66</v>
      </c>
    </row>
    <row r="4">
      <c r="A4" s="18">
        <v>3.0</v>
      </c>
      <c r="B4" s="19" t="s">
        <v>67</v>
      </c>
      <c r="C4" s="19" t="s">
        <v>68</v>
      </c>
      <c r="D4" s="20">
        <v>1.0</v>
      </c>
      <c r="E4" s="19" t="s">
        <v>68</v>
      </c>
    </row>
    <row r="5">
      <c r="A5" s="18">
        <v>4.0</v>
      </c>
      <c r="B5" s="19" t="s">
        <v>69</v>
      </c>
      <c r="C5" s="19" t="s">
        <v>70</v>
      </c>
      <c r="D5" s="20">
        <v>3.0</v>
      </c>
      <c r="E5" s="22" t="s">
        <v>71</v>
      </c>
    </row>
    <row r="6">
      <c r="A6" s="18">
        <v>5.0</v>
      </c>
      <c r="B6" s="19" t="s">
        <v>72</v>
      </c>
      <c r="C6" s="19" t="s">
        <v>70</v>
      </c>
      <c r="D6" s="20">
        <v>7.0</v>
      </c>
      <c r="E6" s="19" t="s">
        <v>73</v>
      </c>
    </row>
    <row r="7">
      <c r="A7" s="18">
        <v>6.0</v>
      </c>
      <c r="B7" s="19" t="s">
        <v>74</v>
      </c>
      <c r="C7" s="19" t="s">
        <v>75</v>
      </c>
      <c r="D7" s="20">
        <v>4.0</v>
      </c>
      <c r="E7" s="19" t="s">
        <v>76</v>
      </c>
    </row>
    <row r="8">
      <c r="A8" s="18">
        <v>7.0</v>
      </c>
      <c r="B8" s="19" t="s">
        <v>77</v>
      </c>
      <c r="C8" s="19" t="s">
        <v>78</v>
      </c>
      <c r="D8" s="20">
        <v>1.0</v>
      </c>
      <c r="E8" s="19" t="s">
        <v>79</v>
      </c>
    </row>
    <row r="9">
      <c r="A9" s="18">
        <v>8.0</v>
      </c>
      <c r="B9" s="19" t="s">
        <v>80</v>
      </c>
      <c r="C9" s="19" t="s">
        <v>81</v>
      </c>
      <c r="D9" s="20">
        <v>2.0</v>
      </c>
      <c r="E9" s="23" t="s">
        <v>82</v>
      </c>
    </row>
    <row r="10">
      <c r="A10" s="18">
        <v>9.0</v>
      </c>
      <c r="B10" s="19" t="s">
        <v>83</v>
      </c>
      <c r="C10" s="19" t="s">
        <v>81</v>
      </c>
      <c r="D10" s="20">
        <v>1.0</v>
      </c>
      <c r="E10" s="19" t="s">
        <v>84</v>
      </c>
    </row>
    <row r="11">
      <c r="A11" s="18">
        <v>10.0</v>
      </c>
      <c r="B11" s="19" t="s">
        <v>85</v>
      </c>
      <c r="C11" s="19" t="s">
        <v>86</v>
      </c>
      <c r="D11" s="20">
        <v>1.0</v>
      </c>
      <c r="E11" s="24" t="s">
        <v>87</v>
      </c>
    </row>
    <row r="12">
      <c r="A12" s="18">
        <v>11.0</v>
      </c>
      <c r="B12" s="19" t="s">
        <v>88</v>
      </c>
      <c r="C12" s="19" t="s">
        <v>89</v>
      </c>
      <c r="D12" s="20">
        <v>1.0</v>
      </c>
      <c r="E12" s="24" t="s">
        <v>90</v>
      </c>
    </row>
    <row r="13">
      <c r="A13" s="18">
        <v>12.0</v>
      </c>
      <c r="B13" s="19" t="s">
        <v>91</v>
      </c>
      <c r="C13" s="19" t="s">
        <v>81</v>
      </c>
      <c r="D13" s="20">
        <v>1.0</v>
      </c>
      <c r="E13" s="19" t="s">
        <v>92</v>
      </c>
    </row>
    <row r="14">
      <c r="A14" s="18">
        <v>13.0</v>
      </c>
      <c r="B14" s="19" t="s">
        <v>93</v>
      </c>
      <c r="C14" s="19" t="s">
        <v>70</v>
      </c>
      <c r="D14" s="20">
        <v>2.0</v>
      </c>
      <c r="E14" s="19" t="s">
        <v>94</v>
      </c>
    </row>
    <row r="15">
      <c r="A15" s="18">
        <v>14.0</v>
      </c>
      <c r="B15" s="19" t="s">
        <v>95</v>
      </c>
      <c r="C15" s="19" t="s">
        <v>81</v>
      </c>
      <c r="D15" s="20">
        <v>1.0</v>
      </c>
      <c r="E15" s="20">
        <v>140.0</v>
      </c>
    </row>
    <row r="16">
      <c r="A16" s="18">
        <v>15.0</v>
      </c>
      <c r="B16" s="19" t="s">
        <v>96</v>
      </c>
      <c r="C16" s="19" t="s">
        <v>97</v>
      </c>
      <c r="D16" s="20">
        <v>1.0</v>
      </c>
      <c r="E16" s="24" t="s">
        <v>98</v>
      </c>
    </row>
    <row r="17">
      <c r="A17" s="18">
        <v>16.0</v>
      </c>
      <c r="B17" s="19" t="s">
        <v>99</v>
      </c>
      <c r="C17" s="19" t="s">
        <v>100</v>
      </c>
      <c r="D17" s="20">
        <v>2.0</v>
      </c>
      <c r="E17" s="19" t="s">
        <v>101</v>
      </c>
    </row>
    <row r="18">
      <c r="A18" s="18">
        <v>17.0</v>
      </c>
      <c r="B18" s="19" t="s">
        <v>102</v>
      </c>
      <c r="C18" s="19" t="s">
        <v>81</v>
      </c>
      <c r="D18" s="20">
        <v>1.0</v>
      </c>
      <c r="E18" s="25">
        <v>330.0</v>
      </c>
    </row>
    <row r="19">
      <c r="A19" s="18">
        <v>18.0</v>
      </c>
      <c r="B19" s="19" t="s">
        <v>103</v>
      </c>
      <c r="C19" s="19" t="s">
        <v>104</v>
      </c>
      <c r="D19" s="20">
        <v>1.0</v>
      </c>
      <c r="E19" s="26" t="s">
        <v>105</v>
      </c>
    </row>
    <row r="20">
      <c r="A20" s="18">
        <v>19.0</v>
      </c>
      <c r="B20" s="19" t="s">
        <v>106</v>
      </c>
      <c r="C20" s="19" t="s">
        <v>107</v>
      </c>
      <c r="D20" s="20">
        <v>1.0</v>
      </c>
      <c r="E20" s="19" t="s">
        <v>108</v>
      </c>
    </row>
    <row r="21">
      <c r="A21" s="18">
        <v>20.0</v>
      </c>
      <c r="B21" s="19" t="s">
        <v>109</v>
      </c>
      <c r="C21" s="19" t="s">
        <v>70</v>
      </c>
      <c r="D21" s="20">
        <v>3.0</v>
      </c>
      <c r="E21" s="22" t="s">
        <v>110</v>
      </c>
    </row>
    <row r="22">
      <c r="A22" s="18">
        <v>21.0</v>
      </c>
      <c r="B22" s="19" t="s">
        <v>111</v>
      </c>
      <c r="C22" s="19" t="s">
        <v>112</v>
      </c>
      <c r="D22" s="20">
        <v>1.0</v>
      </c>
      <c r="E22" s="19" t="s">
        <v>113</v>
      </c>
    </row>
    <row r="23">
      <c r="A23" s="18">
        <v>22.0</v>
      </c>
      <c r="B23" s="19" t="s">
        <v>114</v>
      </c>
      <c r="C23" s="19" t="s">
        <v>115</v>
      </c>
      <c r="D23" s="20">
        <v>1.0</v>
      </c>
      <c r="E23" s="19" t="s">
        <v>116</v>
      </c>
    </row>
    <row r="24">
      <c r="A24" s="18">
        <v>23.0</v>
      </c>
      <c r="B24" s="19" t="s">
        <v>117</v>
      </c>
      <c r="C24" s="19" t="s">
        <v>118</v>
      </c>
      <c r="D24" s="20">
        <v>2.0</v>
      </c>
      <c r="E24" s="21" t="s">
        <v>119</v>
      </c>
    </row>
    <row r="25">
      <c r="A25" s="18">
        <v>24.0</v>
      </c>
      <c r="B25" s="19" t="s">
        <v>120</v>
      </c>
      <c r="C25" s="19" t="s">
        <v>81</v>
      </c>
      <c r="D25" s="20">
        <v>1.0</v>
      </c>
      <c r="E25" s="21" t="s">
        <v>121</v>
      </c>
    </row>
    <row r="26">
      <c r="A26" s="18">
        <v>25.0</v>
      </c>
      <c r="B26" s="19" t="s">
        <v>122</v>
      </c>
      <c r="C26" s="19" t="s">
        <v>81</v>
      </c>
      <c r="D26" s="20">
        <v>1.0</v>
      </c>
      <c r="E26" s="23" t="s">
        <v>123</v>
      </c>
    </row>
    <row r="27">
      <c r="A27" s="18">
        <v>26.0</v>
      </c>
      <c r="B27" s="19" t="s">
        <v>124</v>
      </c>
      <c r="C27" s="19" t="s">
        <v>125</v>
      </c>
      <c r="D27" s="20">
        <v>1.0</v>
      </c>
      <c r="E27" s="19" t="s">
        <v>126</v>
      </c>
    </row>
    <row r="28">
      <c r="A28" s="18">
        <v>27.0</v>
      </c>
      <c r="B28" s="19" t="s">
        <v>127</v>
      </c>
      <c r="C28" s="19" t="s">
        <v>128</v>
      </c>
      <c r="D28" s="20">
        <v>2.0</v>
      </c>
      <c r="E28" s="19" t="s">
        <v>129</v>
      </c>
    </row>
    <row r="29">
      <c r="A29" s="18">
        <v>28.0</v>
      </c>
      <c r="B29" s="19" t="s">
        <v>130</v>
      </c>
      <c r="C29" s="19" t="s">
        <v>70</v>
      </c>
      <c r="D29" s="20">
        <v>4.0</v>
      </c>
      <c r="E29" s="19" t="s">
        <v>131</v>
      </c>
    </row>
    <row r="30">
      <c r="A30" s="18">
        <v>29.0</v>
      </c>
      <c r="B30" s="19" t="s">
        <v>132</v>
      </c>
      <c r="C30" s="19" t="s">
        <v>70</v>
      </c>
      <c r="D30" s="20">
        <v>1.0</v>
      </c>
      <c r="E30" s="19" t="s">
        <v>133</v>
      </c>
    </row>
    <row r="31">
      <c r="A31" s="18">
        <v>30.0</v>
      </c>
      <c r="B31" s="19" t="s">
        <v>134</v>
      </c>
      <c r="C31" s="19" t="s">
        <v>135</v>
      </c>
      <c r="D31" s="20">
        <v>1.0</v>
      </c>
      <c r="E31" s="19" t="s">
        <v>136</v>
      </c>
    </row>
    <row r="32">
      <c r="A32" s="18">
        <v>31.0</v>
      </c>
      <c r="B32" s="19" t="s">
        <v>137</v>
      </c>
      <c r="C32" s="19" t="s">
        <v>70</v>
      </c>
      <c r="D32" s="20">
        <v>2.0</v>
      </c>
      <c r="E32" s="19" t="s">
        <v>138</v>
      </c>
    </row>
    <row r="33">
      <c r="A33" s="18">
        <v>32.0</v>
      </c>
      <c r="B33" s="19" t="s">
        <v>139</v>
      </c>
      <c r="C33" s="19" t="s">
        <v>140</v>
      </c>
      <c r="D33" s="20">
        <v>1.0</v>
      </c>
      <c r="E33" s="19" t="s">
        <v>141</v>
      </c>
    </row>
    <row r="34">
      <c r="A34" s="18">
        <v>33.0</v>
      </c>
      <c r="B34" s="19" t="s">
        <v>142</v>
      </c>
      <c r="C34" s="19" t="s">
        <v>143</v>
      </c>
      <c r="D34" s="20">
        <v>1.0</v>
      </c>
      <c r="E34" s="19" t="s">
        <v>144</v>
      </c>
    </row>
    <row r="37">
      <c r="A37" s="10"/>
      <c r="B37" s="10"/>
      <c r="C37" s="10"/>
      <c r="D37" s="10"/>
      <c r="E37" s="27">
        <v>0.17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 t="s">
        <v>145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8" t="s">
        <v>146</v>
      </c>
      <c r="B39" s="29" t="s">
        <v>147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28" t="s">
        <v>148</v>
      </c>
      <c r="B40" s="28" t="s">
        <v>149</v>
      </c>
      <c r="C40" s="28" t="s">
        <v>150</v>
      </c>
      <c r="D40" s="28" t="s">
        <v>151</v>
      </c>
      <c r="E40" s="28" t="s">
        <v>152</v>
      </c>
      <c r="F40" s="28" t="s">
        <v>153</v>
      </c>
      <c r="G40" s="28" t="s">
        <v>154</v>
      </c>
      <c r="H40" s="28" t="s">
        <v>155</v>
      </c>
      <c r="I40" s="28" t="s">
        <v>156</v>
      </c>
      <c r="J40" s="28" t="s">
        <v>157</v>
      </c>
      <c r="K40" s="28" t="s">
        <v>158</v>
      </c>
      <c r="L40" s="28" t="s">
        <v>159</v>
      </c>
      <c r="M40" s="28" t="s">
        <v>160</v>
      </c>
      <c r="N40" s="28" t="s">
        <v>161</v>
      </c>
      <c r="O40" s="28" t="s">
        <v>162</v>
      </c>
      <c r="P40" s="28" t="s">
        <v>163</v>
      </c>
      <c r="Q40" s="28" t="s">
        <v>164</v>
      </c>
      <c r="R40" s="28" t="s">
        <v>165</v>
      </c>
      <c r="S40" s="28" t="s">
        <v>166</v>
      </c>
      <c r="T40" s="28" t="s">
        <v>167</v>
      </c>
      <c r="U40" s="28" t="s">
        <v>168</v>
      </c>
      <c r="V40" s="28" t="s">
        <v>169</v>
      </c>
      <c r="W40" s="28" t="s">
        <v>170</v>
      </c>
      <c r="X40" s="28" t="s">
        <v>171</v>
      </c>
      <c r="Y40" s="28" t="s">
        <v>172</v>
      </c>
      <c r="Z40" s="28" t="s">
        <v>173</v>
      </c>
    </row>
    <row r="41">
      <c r="A41" s="28" t="s">
        <v>174</v>
      </c>
      <c r="B41" s="28" t="s">
        <v>175</v>
      </c>
      <c r="C41" s="28" t="s">
        <v>141</v>
      </c>
      <c r="D41" s="28" t="s">
        <v>174</v>
      </c>
      <c r="E41" s="28" t="s">
        <v>176</v>
      </c>
      <c r="F41" s="28" t="s">
        <v>177</v>
      </c>
      <c r="G41" s="30">
        <v>1.0</v>
      </c>
      <c r="H41" s="28" t="s">
        <v>178</v>
      </c>
      <c r="I41" s="30">
        <v>0.49</v>
      </c>
      <c r="J41" s="30">
        <v>1.0</v>
      </c>
      <c r="K41" s="30">
        <v>1.0</v>
      </c>
      <c r="L41" s="30">
        <v>1.0</v>
      </c>
      <c r="M41" s="30">
        <v>7678.0</v>
      </c>
      <c r="N41" s="28" t="s">
        <v>179</v>
      </c>
      <c r="O41" s="10" t="s">
        <v>180</v>
      </c>
      <c r="P41" s="28" t="s">
        <v>181</v>
      </c>
      <c r="Q41" s="28" t="s">
        <v>182</v>
      </c>
      <c r="R41" s="28" t="s">
        <v>183</v>
      </c>
      <c r="S41" s="28" t="s">
        <v>184</v>
      </c>
      <c r="T41" s="28" t="s">
        <v>185</v>
      </c>
      <c r="U41" s="28" t="s">
        <v>186</v>
      </c>
      <c r="V41" s="28" t="s">
        <v>187</v>
      </c>
      <c r="W41" s="28" t="s">
        <v>188</v>
      </c>
      <c r="X41" s="28" t="s">
        <v>189</v>
      </c>
      <c r="Y41" s="28" t="s">
        <v>190</v>
      </c>
      <c r="Z41" s="10" t="s">
        <v>180</v>
      </c>
    </row>
    <row r="42">
      <c r="A42" s="28" t="s">
        <v>191</v>
      </c>
      <c r="B42" s="28" t="s">
        <v>175</v>
      </c>
      <c r="C42" s="28" t="s">
        <v>68</v>
      </c>
      <c r="D42" s="28" t="s">
        <v>191</v>
      </c>
      <c r="E42" s="28" t="s">
        <v>192</v>
      </c>
      <c r="F42" s="28" t="s">
        <v>177</v>
      </c>
      <c r="G42" s="30">
        <v>1.0</v>
      </c>
      <c r="H42" s="28" t="s">
        <v>193</v>
      </c>
      <c r="I42" s="30">
        <v>2.41</v>
      </c>
      <c r="J42" s="30">
        <v>1.0</v>
      </c>
      <c r="K42" s="30">
        <v>1.0</v>
      </c>
      <c r="L42" s="30">
        <v>1.0</v>
      </c>
      <c r="M42" s="30">
        <v>2288.0</v>
      </c>
      <c r="N42" s="28" t="s">
        <v>179</v>
      </c>
      <c r="O42" s="10" t="s">
        <v>180</v>
      </c>
      <c r="P42" s="28" t="s">
        <v>194</v>
      </c>
      <c r="Q42" s="28" t="s">
        <v>195</v>
      </c>
      <c r="R42" s="28" t="s">
        <v>183</v>
      </c>
      <c r="S42" s="28" t="s">
        <v>184</v>
      </c>
      <c r="T42" s="28" t="s">
        <v>196</v>
      </c>
      <c r="U42" s="28" t="s">
        <v>186</v>
      </c>
      <c r="V42" s="28" t="s">
        <v>187</v>
      </c>
      <c r="W42" s="28" t="s">
        <v>188</v>
      </c>
      <c r="X42" s="28" t="s">
        <v>189</v>
      </c>
      <c r="Y42" s="28" t="s">
        <v>190</v>
      </c>
      <c r="Z42" s="10" t="s">
        <v>180</v>
      </c>
    </row>
    <row r="43">
      <c r="A43" s="28" t="s">
        <v>197</v>
      </c>
      <c r="B43" s="28" t="s">
        <v>198</v>
      </c>
      <c r="C43" s="28" t="s">
        <v>199</v>
      </c>
      <c r="D43" s="28" t="s">
        <v>197</v>
      </c>
      <c r="E43" s="28" t="s">
        <v>200</v>
      </c>
      <c r="F43" s="28" t="s">
        <v>177</v>
      </c>
      <c r="G43" s="30">
        <v>1.0</v>
      </c>
      <c r="H43" s="28" t="s">
        <v>201</v>
      </c>
      <c r="I43" s="30">
        <v>0.36</v>
      </c>
      <c r="J43" s="30">
        <v>1.0</v>
      </c>
      <c r="K43" s="30">
        <v>1.0</v>
      </c>
      <c r="L43" s="30">
        <v>1.0</v>
      </c>
      <c r="M43" s="30">
        <v>1238891.0</v>
      </c>
      <c r="N43" s="28" t="s">
        <v>179</v>
      </c>
      <c r="O43" s="10" t="s">
        <v>180</v>
      </c>
      <c r="P43" s="28" t="s">
        <v>202</v>
      </c>
      <c r="Q43" s="28" t="s">
        <v>203</v>
      </c>
      <c r="R43" s="28" t="s">
        <v>183</v>
      </c>
      <c r="S43" s="28" t="s">
        <v>184</v>
      </c>
      <c r="T43" s="28" t="s">
        <v>204</v>
      </c>
      <c r="U43" s="28" t="s">
        <v>205</v>
      </c>
      <c r="V43" s="28" t="s">
        <v>206</v>
      </c>
      <c r="W43" s="28" t="s">
        <v>188</v>
      </c>
      <c r="X43" s="28" t="s">
        <v>189</v>
      </c>
      <c r="Y43" s="28" t="s">
        <v>190</v>
      </c>
      <c r="Z43" s="10" t="s">
        <v>180</v>
      </c>
    </row>
    <row r="44">
      <c r="A44" s="28" t="s">
        <v>207</v>
      </c>
      <c r="B44" s="28" t="s">
        <v>198</v>
      </c>
      <c r="C44" s="28" t="s">
        <v>208</v>
      </c>
      <c r="D44" s="28" t="s">
        <v>207</v>
      </c>
      <c r="E44" s="28" t="s">
        <v>209</v>
      </c>
      <c r="F44" s="28" t="s">
        <v>177</v>
      </c>
      <c r="G44" s="30">
        <v>2.0</v>
      </c>
      <c r="H44" s="28" t="s">
        <v>210</v>
      </c>
      <c r="I44" s="30">
        <v>0.2</v>
      </c>
      <c r="J44" s="30">
        <v>1.0</v>
      </c>
      <c r="K44" s="30">
        <v>1.0</v>
      </c>
      <c r="L44" s="30">
        <v>1.0</v>
      </c>
      <c r="M44" s="30">
        <v>176805.0</v>
      </c>
      <c r="N44" s="28" t="s">
        <v>179</v>
      </c>
      <c r="O44" s="10" t="s">
        <v>180</v>
      </c>
      <c r="P44" s="28" t="s">
        <v>202</v>
      </c>
      <c r="Q44" s="28" t="s">
        <v>203</v>
      </c>
      <c r="R44" s="28" t="s">
        <v>183</v>
      </c>
      <c r="S44" s="28" t="s">
        <v>184</v>
      </c>
      <c r="T44" s="28" t="s">
        <v>204</v>
      </c>
      <c r="U44" s="28" t="s">
        <v>205</v>
      </c>
      <c r="V44" s="28" t="s">
        <v>206</v>
      </c>
      <c r="W44" s="28" t="s">
        <v>188</v>
      </c>
      <c r="X44" s="28" t="s">
        <v>189</v>
      </c>
      <c r="Y44" s="28" t="s">
        <v>190</v>
      </c>
      <c r="Z44" s="10" t="s">
        <v>180</v>
      </c>
    </row>
    <row r="45">
      <c r="A45" s="28" t="s">
        <v>211</v>
      </c>
      <c r="B45" s="28" t="s">
        <v>212</v>
      </c>
      <c r="C45" s="28" t="s">
        <v>213</v>
      </c>
      <c r="D45" s="28" t="s">
        <v>211</v>
      </c>
      <c r="E45" s="28" t="s">
        <v>214</v>
      </c>
      <c r="F45" s="28" t="s">
        <v>177</v>
      </c>
      <c r="G45" s="30">
        <v>6.0</v>
      </c>
      <c r="H45" s="28" t="s">
        <v>215</v>
      </c>
      <c r="I45" s="30">
        <v>1.38</v>
      </c>
      <c r="J45" s="30">
        <v>1.0</v>
      </c>
      <c r="K45" s="30">
        <v>1.0</v>
      </c>
      <c r="L45" s="30">
        <v>1.0</v>
      </c>
      <c r="M45" s="30">
        <v>24462.0</v>
      </c>
      <c r="N45" s="28" t="s">
        <v>179</v>
      </c>
      <c r="O45" s="10" t="s">
        <v>180</v>
      </c>
      <c r="P45" s="28" t="s">
        <v>216</v>
      </c>
      <c r="Q45" s="28" t="s">
        <v>217</v>
      </c>
      <c r="R45" s="28" t="s">
        <v>183</v>
      </c>
      <c r="S45" s="28" t="s">
        <v>184</v>
      </c>
      <c r="T45" s="28" t="s">
        <v>204</v>
      </c>
      <c r="U45" s="28" t="s">
        <v>205</v>
      </c>
      <c r="V45" s="28" t="s">
        <v>187</v>
      </c>
      <c r="W45" s="28" t="s">
        <v>188</v>
      </c>
      <c r="X45" s="28" t="s">
        <v>189</v>
      </c>
      <c r="Y45" s="28" t="s">
        <v>190</v>
      </c>
      <c r="Z45" s="10" t="s">
        <v>180</v>
      </c>
    </row>
    <row r="46">
      <c r="A46" s="28" t="s">
        <v>218</v>
      </c>
      <c r="B46" s="28" t="s">
        <v>219</v>
      </c>
      <c r="C46" s="28" t="s">
        <v>220</v>
      </c>
      <c r="D46" s="28" t="s">
        <v>218</v>
      </c>
      <c r="E46" s="28" t="s">
        <v>221</v>
      </c>
      <c r="F46" s="28" t="s">
        <v>177</v>
      </c>
      <c r="G46" s="30">
        <v>1.0</v>
      </c>
      <c r="H46" s="28" t="s">
        <v>222</v>
      </c>
      <c r="I46" s="30">
        <v>1.85</v>
      </c>
      <c r="J46" s="30">
        <v>1.0</v>
      </c>
      <c r="K46" s="30">
        <v>1.0</v>
      </c>
      <c r="L46" s="30">
        <v>1.0</v>
      </c>
      <c r="M46" s="30">
        <v>245.0</v>
      </c>
      <c r="N46" s="28" t="s">
        <v>179</v>
      </c>
      <c r="O46" s="10" t="s">
        <v>180</v>
      </c>
      <c r="P46" s="28" t="s">
        <v>223</v>
      </c>
      <c r="Q46" s="28" t="s">
        <v>195</v>
      </c>
      <c r="R46" s="28" t="s">
        <v>183</v>
      </c>
      <c r="S46" s="28" t="s">
        <v>184</v>
      </c>
      <c r="T46" s="28" t="s">
        <v>224</v>
      </c>
      <c r="U46" s="28" t="s">
        <v>205</v>
      </c>
      <c r="V46" s="28" t="s">
        <v>206</v>
      </c>
      <c r="W46" s="28" t="s">
        <v>188</v>
      </c>
      <c r="X46" s="28" t="s">
        <v>225</v>
      </c>
      <c r="Y46" s="28" t="s">
        <v>190</v>
      </c>
      <c r="Z46" s="10" t="s">
        <v>180</v>
      </c>
    </row>
    <row r="47">
      <c r="A47" s="28" t="s">
        <v>226</v>
      </c>
      <c r="B47" s="28" t="s">
        <v>198</v>
      </c>
      <c r="C47" s="28" t="s">
        <v>227</v>
      </c>
      <c r="D47" s="28" t="s">
        <v>226</v>
      </c>
      <c r="E47" s="28" t="s">
        <v>228</v>
      </c>
      <c r="F47" s="28" t="s">
        <v>177</v>
      </c>
      <c r="G47" s="30">
        <v>7.0</v>
      </c>
      <c r="H47" s="28" t="s">
        <v>229</v>
      </c>
      <c r="I47" s="30">
        <v>2.1</v>
      </c>
      <c r="J47" s="30">
        <v>1.0</v>
      </c>
      <c r="K47" s="30">
        <v>1.0</v>
      </c>
      <c r="L47" s="30">
        <v>1.0</v>
      </c>
      <c r="M47" s="30">
        <v>240942.0</v>
      </c>
      <c r="N47" s="28" t="s">
        <v>179</v>
      </c>
      <c r="O47" s="10" t="s">
        <v>180</v>
      </c>
      <c r="P47" s="28" t="s">
        <v>202</v>
      </c>
      <c r="Q47" s="28" t="s">
        <v>203</v>
      </c>
      <c r="R47" s="28" t="s">
        <v>183</v>
      </c>
      <c r="S47" s="28" t="s">
        <v>184</v>
      </c>
      <c r="T47" s="28" t="s">
        <v>204</v>
      </c>
      <c r="U47" s="28" t="s">
        <v>205</v>
      </c>
      <c r="V47" s="28" t="s">
        <v>187</v>
      </c>
      <c r="W47" s="28" t="s">
        <v>188</v>
      </c>
      <c r="X47" s="28" t="s">
        <v>189</v>
      </c>
      <c r="Y47" s="28" t="s">
        <v>190</v>
      </c>
      <c r="Z47" s="10" t="s">
        <v>180</v>
      </c>
    </row>
    <row r="48">
      <c r="A48" s="28" t="s">
        <v>230</v>
      </c>
      <c r="B48" s="28" t="s">
        <v>231</v>
      </c>
      <c r="C48" s="28" t="s">
        <v>232</v>
      </c>
      <c r="D48" s="28" t="s">
        <v>230</v>
      </c>
      <c r="E48" s="28" t="s">
        <v>233</v>
      </c>
      <c r="F48" s="28" t="s">
        <v>177</v>
      </c>
      <c r="G48" s="30">
        <v>2.0</v>
      </c>
      <c r="H48" s="28" t="s">
        <v>234</v>
      </c>
      <c r="I48" s="30">
        <v>0.4</v>
      </c>
      <c r="J48" s="30">
        <v>1.0</v>
      </c>
      <c r="K48" s="30">
        <v>1.0</v>
      </c>
      <c r="L48" s="30">
        <v>1.0</v>
      </c>
      <c r="M48" s="30">
        <v>72474.0</v>
      </c>
      <c r="N48" s="28" t="s">
        <v>179</v>
      </c>
      <c r="O48" s="10" t="s">
        <v>180</v>
      </c>
      <c r="P48" s="28" t="s">
        <v>235</v>
      </c>
      <c r="Q48" s="28" t="s">
        <v>236</v>
      </c>
      <c r="R48" s="28" t="s">
        <v>183</v>
      </c>
      <c r="S48" s="28" t="s">
        <v>184</v>
      </c>
      <c r="T48" s="28" t="s">
        <v>204</v>
      </c>
      <c r="U48" s="28" t="s">
        <v>205</v>
      </c>
      <c r="V48" s="28" t="s">
        <v>206</v>
      </c>
      <c r="W48" s="28" t="s">
        <v>188</v>
      </c>
      <c r="X48" s="28" t="s">
        <v>189</v>
      </c>
      <c r="Y48" s="28" t="s">
        <v>190</v>
      </c>
      <c r="Z48" s="10" t="s">
        <v>180</v>
      </c>
    </row>
    <row r="49">
      <c r="A49" s="28" t="s">
        <v>237</v>
      </c>
      <c r="B49" s="28" t="s">
        <v>238</v>
      </c>
      <c r="C49" s="28" t="s">
        <v>239</v>
      </c>
      <c r="D49" s="28" t="s">
        <v>237</v>
      </c>
      <c r="E49" s="28" t="s">
        <v>240</v>
      </c>
      <c r="F49" s="28" t="s">
        <v>177</v>
      </c>
      <c r="G49" s="30">
        <v>4.0</v>
      </c>
      <c r="H49" s="28" t="s">
        <v>234</v>
      </c>
      <c r="I49" s="30">
        <v>0.8</v>
      </c>
      <c r="J49" s="30">
        <v>1.0</v>
      </c>
      <c r="K49" s="30">
        <v>1.0</v>
      </c>
      <c r="L49" s="30">
        <v>1.0</v>
      </c>
      <c r="M49" s="30">
        <v>157611.0</v>
      </c>
      <c r="N49" s="28" t="s">
        <v>179</v>
      </c>
      <c r="O49" s="10" t="s">
        <v>180</v>
      </c>
      <c r="P49" s="28" t="s">
        <v>241</v>
      </c>
      <c r="Q49" s="28" t="s">
        <v>195</v>
      </c>
      <c r="R49" s="28" t="s">
        <v>183</v>
      </c>
      <c r="S49" s="28" t="s">
        <v>184</v>
      </c>
      <c r="T49" s="28" t="s">
        <v>242</v>
      </c>
      <c r="U49" s="28" t="s">
        <v>243</v>
      </c>
      <c r="V49" s="28" t="s">
        <v>206</v>
      </c>
      <c r="W49" s="28" t="s">
        <v>188</v>
      </c>
      <c r="X49" s="28" t="s">
        <v>225</v>
      </c>
      <c r="Y49" s="28" t="s">
        <v>190</v>
      </c>
      <c r="Z49" s="10" t="s">
        <v>180</v>
      </c>
    </row>
    <row r="50">
      <c r="A50" s="28" t="s">
        <v>244</v>
      </c>
      <c r="B50" s="28" t="s">
        <v>245</v>
      </c>
      <c r="C50" s="28" t="s">
        <v>246</v>
      </c>
      <c r="D50" s="28" t="s">
        <v>244</v>
      </c>
      <c r="E50" s="28" t="s">
        <v>247</v>
      </c>
      <c r="F50" s="28" t="s">
        <v>177</v>
      </c>
      <c r="G50" s="30">
        <v>1.0</v>
      </c>
      <c r="H50" s="28" t="s">
        <v>210</v>
      </c>
      <c r="I50" s="30">
        <v>0.1</v>
      </c>
      <c r="J50" s="30">
        <v>1.0</v>
      </c>
      <c r="K50" s="30">
        <v>1.0</v>
      </c>
      <c r="L50" s="30">
        <v>1.0</v>
      </c>
      <c r="M50" s="30">
        <v>138058.0</v>
      </c>
      <c r="N50" s="28" t="s">
        <v>179</v>
      </c>
      <c r="O50" s="10" t="s">
        <v>180</v>
      </c>
      <c r="P50" s="28" t="s">
        <v>248</v>
      </c>
      <c r="Q50" s="28" t="s">
        <v>236</v>
      </c>
      <c r="R50" s="28" t="s">
        <v>183</v>
      </c>
      <c r="S50" s="28" t="s">
        <v>184</v>
      </c>
      <c r="T50" s="28" t="s">
        <v>249</v>
      </c>
      <c r="U50" s="28" t="s">
        <v>205</v>
      </c>
      <c r="V50" s="28" t="s">
        <v>206</v>
      </c>
      <c r="W50" s="28" t="s">
        <v>188</v>
      </c>
      <c r="X50" s="28" t="s">
        <v>189</v>
      </c>
      <c r="Y50" s="28" t="s">
        <v>190</v>
      </c>
      <c r="Z50" s="10" t="s">
        <v>180</v>
      </c>
    </row>
    <row r="51">
      <c r="A51" s="28" t="s">
        <v>250</v>
      </c>
      <c r="B51" s="28" t="s">
        <v>231</v>
      </c>
      <c r="C51" s="28" t="s">
        <v>251</v>
      </c>
      <c r="D51" s="28" t="s">
        <v>250</v>
      </c>
      <c r="E51" s="28" t="s">
        <v>252</v>
      </c>
      <c r="F51" s="28" t="s">
        <v>177</v>
      </c>
      <c r="G51" s="30">
        <v>1.0</v>
      </c>
      <c r="H51" s="28" t="s">
        <v>210</v>
      </c>
      <c r="I51" s="30">
        <v>0.1</v>
      </c>
      <c r="J51" s="30">
        <v>1.0</v>
      </c>
      <c r="K51" s="30">
        <v>1.0</v>
      </c>
      <c r="L51" s="30">
        <v>1.0</v>
      </c>
      <c r="M51" s="30">
        <v>106677.0</v>
      </c>
      <c r="N51" s="28" t="s">
        <v>179</v>
      </c>
      <c r="O51" s="10" t="s">
        <v>180</v>
      </c>
      <c r="P51" s="28" t="s">
        <v>253</v>
      </c>
      <c r="Q51" s="28" t="s">
        <v>236</v>
      </c>
      <c r="R51" s="28" t="s">
        <v>183</v>
      </c>
      <c r="S51" s="28" t="s">
        <v>184</v>
      </c>
      <c r="T51" s="28" t="s">
        <v>249</v>
      </c>
      <c r="U51" s="28" t="s">
        <v>205</v>
      </c>
      <c r="V51" s="28" t="s">
        <v>206</v>
      </c>
      <c r="W51" s="28" t="s">
        <v>188</v>
      </c>
      <c r="X51" s="28" t="s">
        <v>189</v>
      </c>
      <c r="Y51" s="28" t="s">
        <v>190</v>
      </c>
      <c r="Z51" s="10" t="s">
        <v>180</v>
      </c>
    </row>
    <row r="52">
      <c r="A52" s="28" t="s">
        <v>254</v>
      </c>
      <c r="B52" s="28" t="s">
        <v>231</v>
      </c>
      <c r="C52" s="28" t="s">
        <v>255</v>
      </c>
      <c r="D52" s="28" t="s">
        <v>254</v>
      </c>
      <c r="E52" s="28" t="s">
        <v>256</v>
      </c>
      <c r="F52" s="28" t="s">
        <v>177</v>
      </c>
      <c r="G52" s="30">
        <v>1.0</v>
      </c>
      <c r="H52" s="28" t="s">
        <v>210</v>
      </c>
      <c r="I52" s="30">
        <v>0.1</v>
      </c>
      <c r="J52" s="30">
        <v>1.0</v>
      </c>
      <c r="K52" s="30">
        <v>1.0</v>
      </c>
      <c r="L52" s="30">
        <v>1.0</v>
      </c>
      <c r="M52" s="30">
        <v>184180.0</v>
      </c>
      <c r="N52" s="28" t="s">
        <v>179</v>
      </c>
      <c r="O52" s="10" t="s">
        <v>180</v>
      </c>
      <c r="P52" s="28" t="s">
        <v>253</v>
      </c>
      <c r="Q52" s="28" t="s">
        <v>236</v>
      </c>
      <c r="R52" s="28" t="s">
        <v>183</v>
      </c>
      <c r="S52" s="28" t="s">
        <v>184</v>
      </c>
      <c r="T52" s="28" t="s">
        <v>249</v>
      </c>
      <c r="U52" s="28" t="s">
        <v>205</v>
      </c>
      <c r="V52" s="28" t="s">
        <v>206</v>
      </c>
      <c r="W52" s="28" t="s">
        <v>188</v>
      </c>
      <c r="X52" s="28" t="s">
        <v>189</v>
      </c>
      <c r="Y52" s="28" t="s">
        <v>190</v>
      </c>
      <c r="Z52" s="10" t="s">
        <v>180</v>
      </c>
    </row>
    <row r="53">
      <c r="A53" s="28" t="s">
        <v>257</v>
      </c>
      <c r="B53" s="28" t="s">
        <v>258</v>
      </c>
      <c r="C53" s="28" t="s">
        <v>259</v>
      </c>
      <c r="D53" s="28" t="s">
        <v>257</v>
      </c>
      <c r="E53" s="28" t="s">
        <v>260</v>
      </c>
      <c r="F53" s="28" t="s">
        <v>177</v>
      </c>
      <c r="G53" s="30">
        <v>3.0</v>
      </c>
      <c r="H53" s="28" t="s">
        <v>210</v>
      </c>
      <c r="I53" s="30">
        <v>0.3</v>
      </c>
      <c r="J53" s="30">
        <v>1.0</v>
      </c>
      <c r="K53" s="30">
        <v>1.0</v>
      </c>
      <c r="L53" s="30">
        <v>1.0</v>
      </c>
      <c r="M53" s="30">
        <v>548034.0</v>
      </c>
      <c r="N53" s="28" t="s">
        <v>179</v>
      </c>
      <c r="O53" s="10" t="s">
        <v>180</v>
      </c>
      <c r="P53" s="28" t="s">
        <v>261</v>
      </c>
      <c r="Q53" s="28" t="s">
        <v>262</v>
      </c>
      <c r="R53" s="28" t="s">
        <v>183</v>
      </c>
      <c r="S53" s="28" t="s">
        <v>184</v>
      </c>
      <c r="T53" s="28" t="s">
        <v>249</v>
      </c>
      <c r="U53" s="28" t="s">
        <v>205</v>
      </c>
      <c r="V53" s="28" t="s">
        <v>206</v>
      </c>
      <c r="W53" s="28" t="s">
        <v>263</v>
      </c>
      <c r="X53" s="28" t="s">
        <v>189</v>
      </c>
      <c r="Y53" s="28" t="s">
        <v>190</v>
      </c>
      <c r="Z53" s="10" t="s">
        <v>180</v>
      </c>
    </row>
    <row r="54">
      <c r="A54" s="28" t="s">
        <v>264</v>
      </c>
      <c r="B54" s="28" t="s">
        <v>212</v>
      </c>
      <c r="C54" s="28" t="s">
        <v>265</v>
      </c>
      <c r="D54" s="28" t="s">
        <v>264</v>
      </c>
      <c r="E54" s="28" t="s">
        <v>266</v>
      </c>
      <c r="F54" s="28" t="s">
        <v>177</v>
      </c>
      <c r="G54" s="30">
        <v>2.0</v>
      </c>
      <c r="H54" s="28" t="s">
        <v>267</v>
      </c>
      <c r="I54" s="30">
        <v>0.44</v>
      </c>
      <c r="J54" s="30">
        <v>1.0</v>
      </c>
      <c r="K54" s="30">
        <v>1.0</v>
      </c>
      <c r="L54" s="30">
        <v>1.0</v>
      </c>
      <c r="M54" s="30">
        <v>4195.0</v>
      </c>
      <c r="N54" s="28" t="s">
        <v>179</v>
      </c>
      <c r="O54" s="10" t="s">
        <v>180</v>
      </c>
      <c r="P54" s="28" t="s">
        <v>268</v>
      </c>
      <c r="Q54" s="28" t="s">
        <v>217</v>
      </c>
      <c r="R54" s="28" t="s">
        <v>183</v>
      </c>
      <c r="S54" s="28" t="s">
        <v>184</v>
      </c>
      <c r="T54" s="28" t="s">
        <v>204</v>
      </c>
      <c r="U54" s="28" t="s">
        <v>205</v>
      </c>
      <c r="V54" s="28" t="s">
        <v>206</v>
      </c>
      <c r="W54" s="28" t="s">
        <v>188</v>
      </c>
      <c r="X54" s="28" t="s">
        <v>189</v>
      </c>
      <c r="Y54" s="28" t="s">
        <v>190</v>
      </c>
      <c r="Z54" s="10" t="s">
        <v>180</v>
      </c>
    </row>
    <row r="55">
      <c r="A55" s="28" t="s">
        <v>269</v>
      </c>
      <c r="B55" s="28" t="s">
        <v>270</v>
      </c>
      <c r="C55" s="28" t="s">
        <v>116</v>
      </c>
      <c r="D55" s="28" t="s">
        <v>269</v>
      </c>
      <c r="E55" s="28" t="s">
        <v>271</v>
      </c>
      <c r="F55" s="28" t="s">
        <v>177</v>
      </c>
      <c r="G55" s="30">
        <v>1.0</v>
      </c>
      <c r="H55" s="28" t="s">
        <v>272</v>
      </c>
      <c r="I55" s="30">
        <v>0.16</v>
      </c>
      <c r="J55" s="30">
        <v>1.0</v>
      </c>
      <c r="K55" s="30">
        <v>1.0</v>
      </c>
      <c r="L55" s="30">
        <v>1.0</v>
      </c>
      <c r="M55" s="30">
        <v>0.0</v>
      </c>
      <c r="N55" s="28" t="s">
        <v>179</v>
      </c>
      <c r="O55" s="28" t="s">
        <v>273</v>
      </c>
      <c r="P55" s="28" t="s">
        <v>194</v>
      </c>
      <c r="Q55" s="28" t="s">
        <v>195</v>
      </c>
      <c r="R55" s="28" t="s">
        <v>183</v>
      </c>
      <c r="S55" s="28" t="s">
        <v>184</v>
      </c>
      <c r="T55" s="28" t="s">
        <v>274</v>
      </c>
      <c r="U55" s="28" t="s">
        <v>205</v>
      </c>
      <c r="V55" s="28" t="s">
        <v>187</v>
      </c>
      <c r="W55" s="28" t="s">
        <v>188</v>
      </c>
      <c r="X55" s="28" t="s">
        <v>225</v>
      </c>
      <c r="Y55" s="28" t="s">
        <v>190</v>
      </c>
      <c r="Z55" s="10" t="s">
        <v>180</v>
      </c>
    </row>
    <row r="56">
      <c r="A56" s="28" t="s">
        <v>275</v>
      </c>
      <c r="B56" s="28" t="s">
        <v>276</v>
      </c>
      <c r="C56" s="28" t="s">
        <v>277</v>
      </c>
      <c r="D56" s="28" t="s">
        <v>275</v>
      </c>
      <c r="E56" s="28" t="s">
        <v>278</v>
      </c>
      <c r="F56" s="28" t="s">
        <v>177</v>
      </c>
      <c r="G56" s="30">
        <v>1.0</v>
      </c>
      <c r="H56" s="28" t="s">
        <v>279</v>
      </c>
      <c r="I56" s="30">
        <v>2.08</v>
      </c>
      <c r="J56" s="30">
        <v>1.0</v>
      </c>
      <c r="K56" s="30">
        <v>1.0</v>
      </c>
      <c r="L56" s="30">
        <v>1.0</v>
      </c>
      <c r="M56" s="30">
        <v>19859.0</v>
      </c>
      <c r="N56" s="28" t="s">
        <v>179</v>
      </c>
      <c r="O56" s="10" t="s">
        <v>180</v>
      </c>
      <c r="P56" s="28" t="s">
        <v>280</v>
      </c>
      <c r="Q56" s="28" t="s">
        <v>281</v>
      </c>
      <c r="R56" s="28" t="s">
        <v>183</v>
      </c>
      <c r="S56" s="28" t="s">
        <v>184</v>
      </c>
      <c r="T56" s="28" t="s">
        <v>282</v>
      </c>
      <c r="U56" s="28" t="s">
        <v>205</v>
      </c>
      <c r="V56" s="28" t="s">
        <v>206</v>
      </c>
      <c r="W56" s="28" t="s">
        <v>188</v>
      </c>
      <c r="X56" s="28" t="s">
        <v>189</v>
      </c>
      <c r="Y56" s="28" t="s">
        <v>190</v>
      </c>
      <c r="Z56" s="10" t="s">
        <v>180</v>
      </c>
    </row>
    <row r="57">
      <c r="A57" s="28" t="s">
        <v>283</v>
      </c>
      <c r="B57" s="28" t="s">
        <v>175</v>
      </c>
      <c r="C57" s="28" t="s">
        <v>284</v>
      </c>
      <c r="D57" s="28" t="s">
        <v>283</v>
      </c>
      <c r="E57" s="28" t="s">
        <v>285</v>
      </c>
      <c r="F57" s="28" t="s">
        <v>177</v>
      </c>
      <c r="G57" s="30">
        <v>2.0</v>
      </c>
      <c r="H57" s="28" t="s">
        <v>286</v>
      </c>
      <c r="I57" s="30">
        <v>6.66</v>
      </c>
      <c r="J57" s="30">
        <v>1.0</v>
      </c>
      <c r="K57" s="30">
        <v>1.0</v>
      </c>
      <c r="L57" s="30">
        <v>1.0</v>
      </c>
      <c r="M57" s="30">
        <v>16448.0</v>
      </c>
      <c r="N57" s="28" t="s">
        <v>179</v>
      </c>
      <c r="O57" s="10" t="s">
        <v>180</v>
      </c>
      <c r="P57" s="28" t="s">
        <v>194</v>
      </c>
      <c r="Q57" s="28" t="s">
        <v>182</v>
      </c>
      <c r="R57" s="28" t="s">
        <v>183</v>
      </c>
      <c r="S57" s="28" t="s">
        <v>184</v>
      </c>
      <c r="T57" s="28" t="s">
        <v>287</v>
      </c>
      <c r="U57" s="28" t="s">
        <v>186</v>
      </c>
      <c r="V57" s="28" t="s">
        <v>206</v>
      </c>
      <c r="W57" s="28" t="s">
        <v>188</v>
      </c>
      <c r="X57" s="28" t="s">
        <v>189</v>
      </c>
      <c r="Y57" s="28" t="s">
        <v>190</v>
      </c>
      <c r="Z57" s="10" t="s">
        <v>180</v>
      </c>
    </row>
    <row r="58">
      <c r="A58" s="28" t="s">
        <v>288</v>
      </c>
      <c r="B58" s="28" t="s">
        <v>289</v>
      </c>
      <c r="C58" s="28" t="s">
        <v>290</v>
      </c>
      <c r="D58" s="28" t="s">
        <v>288</v>
      </c>
      <c r="E58" s="28" t="s">
        <v>291</v>
      </c>
      <c r="F58" s="28" t="s">
        <v>177</v>
      </c>
      <c r="G58" s="30">
        <v>1.0</v>
      </c>
      <c r="H58" s="28" t="s">
        <v>292</v>
      </c>
      <c r="I58" s="30">
        <v>7.67</v>
      </c>
      <c r="J58" s="30">
        <v>1.0</v>
      </c>
      <c r="K58" s="30">
        <v>1.0</v>
      </c>
      <c r="L58" s="30">
        <v>31.0</v>
      </c>
      <c r="M58" s="30">
        <v>359.0</v>
      </c>
      <c r="N58" s="28" t="s">
        <v>293</v>
      </c>
      <c r="O58" s="10" t="s">
        <v>180</v>
      </c>
      <c r="P58" s="28" t="s">
        <v>294</v>
      </c>
      <c r="Q58" s="28" t="s">
        <v>295</v>
      </c>
      <c r="R58" s="28" t="s">
        <v>183</v>
      </c>
      <c r="S58" s="28" t="s">
        <v>184</v>
      </c>
      <c r="T58" s="28" t="s">
        <v>196</v>
      </c>
      <c r="U58" s="28" t="s">
        <v>243</v>
      </c>
      <c r="V58" s="28" t="s">
        <v>206</v>
      </c>
      <c r="W58" s="28" t="s">
        <v>188</v>
      </c>
      <c r="X58" s="28" t="s">
        <v>189</v>
      </c>
      <c r="Y58" s="28" t="s">
        <v>190</v>
      </c>
      <c r="Z58" s="10" t="s">
        <v>180</v>
      </c>
    </row>
    <row r="59">
      <c r="A59" s="28" t="s">
        <v>296</v>
      </c>
      <c r="B59" s="28" t="s">
        <v>289</v>
      </c>
      <c r="C59" s="28" t="s">
        <v>108</v>
      </c>
      <c r="D59" s="28" t="s">
        <v>296</v>
      </c>
      <c r="E59" s="28" t="s">
        <v>297</v>
      </c>
      <c r="F59" s="28" t="s">
        <v>177</v>
      </c>
      <c r="G59" s="30">
        <v>1.0</v>
      </c>
      <c r="H59" s="28" t="s">
        <v>298</v>
      </c>
      <c r="I59" s="30">
        <v>4.05</v>
      </c>
      <c r="J59" s="30">
        <v>1.0</v>
      </c>
      <c r="K59" s="30">
        <v>1.0</v>
      </c>
      <c r="L59" s="30">
        <v>1.0</v>
      </c>
      <c r="M59" s="30">
        <v>0.0</v>
      </c>
      <c r="N59" s="28" t="s">
        <v>179</v>
      </c>
      <c r="O59" s="28" t="s">
        <v>299</v>
      </c>
      <c r="P59" s="28" t="s">
        <v>235</v>
      </c>
      <c r="Q59" s="28" t="s">
        <v>262</v>
      </c>
      <c r="R59" s="28" t="s">
        <v>183</v>
      </c>
      <c r="S59" s="28" t="s">
        <v>184</v>
      </c>
      <c r="T59" s="28" t="s">
        <v>196</v>
      </c>
      <c r="U59" s="28" t="s">
        <v>205</v>
      </c>
      <c r="V59" s="28" t="s">
        <v>187</v>
      </c>
      <c r="W59" s="28" t="s">
        <v>188</v>
      </c>
      <c r="X59" s="28" t="s">
        <v>189</v>
      </c>
      <c r="Y59" s="28" t="s">
        <v>190</v>
      </c>
      <c r="Z59" s="10" t="s">
        <v>180</v>
      </c>
    </row>
    <row r="60">
      <c r="A60" s="28" t="s">
        <v>300</v>
      </c>
      <c r="B60" s="28" t="s">
        <v>198</v>
      </c>
      <c r="C60" s="28" t="s">
        <v>301</v>
      </c>
      <c r="D60" s="28" t="s">
        <v>300</v>
      </c>
      <c r="E60" s="28" t="s">
        <v>302</v>
      </c>
      <c r="F60" s="28" t="s">
        <v>177</v>
      </c>
      <c r="G60" s="30">
        <v>4.0</v>
      </c>
      <c r="H60" s="28" t="s">
        <v>303</v>
      </c>
      <c r="I60" s="30">
        <v>0.48</v>
      </c>
      <c r="J60" s="30">
        <v>1.0</v>
      </c>
      <c r="K60" s="30">
        <v>1.0</v>
      </c>
      <c r="L60" s="30">
        <v>1.0</v>
      </c>
      <c r="M60" s="30">
        <v>2728792.0</v>
      </c>
      <c r="N60" s="28" t="s">
        <v>179</v>
      </c>
      <c r="O60" s="10" t="s">
        <v>180</v>
      </c>
      <c r="P60" s="28" t="s">
        <v>202</v>
      </c>
      <c r="Q60" s="28" t="s">
        <v>203</v>
      </c>
      <c r="R60" s="28" t="s">
        <v>183</v>
      </c>
      <c r="S60" s="28" t="s">
        <v>184</v>
      </c>
      <c r="T60" s="28" t="s">
        <v>204</v>
      </c>
      <c r="U60" s="28" t="s">
        <v>205</v>
      </c>
      <c r="V60" s="28" t="s">
        <v>206</v>
      </c>
      <c r="W60" s="28" t="s">
        <v>188</v>
      </c>
      <c r="X60" s="28" t="s">
        <v>189</v>
      </c>
      <c r="Y60" s="28" t="s">
        <v>190</v>
      </c>
      <c r="Z60" s="10" t="s">
        <v>180</v>
      </c>
    </row>
    <row r="61">
      <c r="A61" s="28" t="s">
        <v>304</v>
      </c>
      <c r="B61" s="28" t="s">
        <v>175</v>
      </c>
      <c r="C61" s="28" t="s">
        <v>144</v>
      </c>
      <c r="D61" s="28" t="s">
        <v>304</v>
      </c>
      <c r="E61" s="28" t="s">
        <v>305</v>
      </c>
      <c r="F61" s="28" t="s">
        <v>177</v>
      </c>
      <c r="G61" s="30">
        <v>1.0</v>
      </c>
      <c r="H61" s="28" t="s">
        <v>178</v>
      </c>
      <c r="I61" s="30">
        <v>0.49</v>
      </c>
      <c r="J61" s="30">
        <v>1.0</v>
      </c>
      <c r="K61" s="30">
        <v>1.0</v>
      </c>
      <c r="L61" s="30">
        <v>1.0</v>
      </c>
      <c r="M61" s="30">
        <v>5298.0</v>
      </c>
      <c r="N61" s="28" t="s">
        <v>179</v>
      </c>
      <c r="O61" s="10" t="s">
        <v>180</v>
      </c>
      <c r="P61" s="28" t="s">
        <v>181</v>
      </c>
      <c r="Q61" s="28" t="s">
        <v>182</v>
      </c>
      <c r="R61" s="28" t="s">
        <v>183</v>
      </c>
      <c r="S61" s="28" t="s">
        <v>184</v>
      </c>
      <c r="T61" s="28" t="s">
        <v>185</v>
      </c>
      <c r="U61" s="28" t="s">
        <v>186</v>
      </c>
      <c r="V61" s="28" t="s">
        <v>187</v>
      </c>
      <c r="W61" s="28" t="s">
        <v>188</v>
      </c>
      <c r="X61" s="28" t="s">
        <v>189</v>
      </c>
      <c r="Y61" s="28" t="s">
        <v>190</v>
      </c>
      <c r="Z61" s="10" t="s">
        <v>180</v>
      </c>
    </row>
    <row r="62">
      <c r="A62" s="28" t="s">
        <v>306</v>
      </c>
      <c r="B62" s="28" t="s">
        <v>231</v>
      </c>
      <c r="C62" s="28" t="s">
        <v>307</v>
      </c>
      <c r="D62" s="28" t="s">
        <v>306</v>
      </c>
      <c r="E62" s="28" t="s">
        <v>308</v>
      </c>
      <c r="F62" s="28" t="s">
        <v>177</v>
      </c>
      <c r="G62" s="30">
        <v>2.0</v>
      </c>
      <c r="H62" s="28" t="s">
        <v>210</v>
      </c>
      <c r="I62" s="30">
        <v>0.2</v>
      </c>
      <c r="J62" s="30">
        <v>1.0</v>
      </c>
      <c r="K62" s="30">
        <v>1.0</v>
      </c>
      <c r="L62" s="30">
        <v>1.0</v>
      </c>
      <c r="M62" s="30">
        <v>2212310.0</v>
      </c>
      <c r="N62" s="28" t="s">
        <v>179</v>
      </c>
      <c r="O62" s="10" t="s">
        <v>180</v>
      </c>
      <c r="P62" s="28" t="s">
        <v>253</v>
      </c>
      <c r="Q62" s="28" t="s">
        <v>236</v>
      </c>
      <c r="R62" s="28" t="s">
        <v>183</v>
      </c>
      <c r="S62" s="28" t="s">
        <v>184</v>
      </c>
      <c r="T62" s="28" t="s">
        <v>249</v>
      </c>
      <c r="U62" s="28" t="s">
        <v>205</v>
      </c>
      <c r="V62" s="28" t="s">
        <v>206</v>
      </c>
      <c r="W62" s="28" t="s">
        <v>188</v>
      </c>
      <c r="X62" s="28" t="s">
        <v>189</v>
      </c>
      <c r="Y62" s="28" t="s">
        <v>190</v>
      </c>
      <c r="Z62" s="10" t="s">
        <v>180</v>
      </c>
    </row>
    <row r="63">
      <c r="A63" s="28" t="s">
        <v>309</v>
      </c>
      <c r="B63" s="28" t="s">
        <v>231</v>
      </c>
      <c r="C63" s="28" t="s">
        <v>310</v>
      </c>
      <c r="D63" s="28" t="s">
        <v>309</v>
      </c>
      <c r="E63" s="28" t="s">
        <v>311</v>
      </c>
      <c r="F63" s="28" t="s">
        <v>177</v>
      </c>
      <c r="G63" s="30">
        <v>1.0</v>
      </c>
      <c r="H63" s="28" t="s">
        <v>210</v>
      </c>
      <c r="I63" s="30">
        <v>0.1</v>
      </c>
      <c r="J63" s="30">
        <v>1.0</v>
      </c>
      <c r="K63" s="30">
        <v>1.0</v>
      </c>
      <c r="L63" s="30">
        <v>1.0</v>
      </c>
      <c r="M63" s="30">
        <v>19527.0</v>
      </c>
      <c r="N63" s="28" t="s">
        <v>179</v>
      </c>
      <c r="O63" s="10" t="s">
        <v>180</v>
      </c>
      <c r="P63" s="28" t="s">
        <v>253</v>
      </c>
      <c r="Q63" s="28" t="s">
        <v>236</v>
      </c>
      <c r="R63" s="28" t="s">
        <v>183</v>
      </c>
      <c r="S63" s="28" t="s">
        <v>184</v>
      </c>
      <c r="T63" s="28" t="s">
        <v>249</v>
      </c>
      <c r="U63" s="28" t="s">
        <v>205</v>
      </c>
      <c r="V63" s="28" t="s">
        <v>206</v>
      </c>
      <c r="W63" s="28" t="s">
        <v>188</v>
      </c>
      <c r="X63" s="28" t="s">
        <v>189</v>
      </c>
      <c r="Y63" s="28" t="s">
        <v>190</v>
      </c>
      <c r="Z63" s="10" t="s">
        <v>180</v>
      </c>
    </row>
    <row r="64">
      <c r="A64" s="28" t="s">
        <v>312</v>
      </c>
      <c r="B64" s="28" t="s">
        <v>231</v>
      </c>
      <c r="C64" s="28" t="s">
        <v>313</v>
      </c>
      <c r="D64" s="28" t="s">
        <v>312</v>
      </c>
      <c r="E64" s="28" t="s">
        <v>314</v>
      </c>
      <c r="F64" s="28" t="s">
        <v>177</v>
      </c>
      <c r="G64" s="30">
        <v>1.0</v>
      </c>
      <c r="H64" s="28" t="s">
        <v>210</v>
      </c>
      <c r="I64" s="30">
        <v>0.1</v>
      </c>
      <c r="J64" s="30">
        <v>1.0</v>
      </c>
      <c r="K64" s="30">
        <v>1.0</v>
      </c>
      <c r="L64" s="30">
        <v>1.0</v>
      </c>
      <c r="M64" s="30">
        <v>29697.0</v>
      </c>
      <c r="N64" s="28" t="s">
        <v>179</v>
      </c>
      <c r="O64" s="10" t="s">
        <v>180</v>
      </c>
      <c r="P64" s="28" t="s">
        <v>253</v>
      </c>
      <c r="Q64" s="28" t="s">
        <v>236</v>
      </c>
      <c r="R64" s="28" t="s">
        <v>183</v>
      </c>
      <c r="S64" s="28" t="s">
        <v>184</v>
      </c>
      <c r="T64" s="28" t="s">
        <v>249</v>
      </c>
      <c r="U64" s="28" t="s">
        <v>205</v>
      </c>
      <c r="V64" s="28" t="s">
        <v>187</v>
      </c>
      <c r="W64" s="28" t="s">
        <v>188</v>
      </c>
      <c r="X64" s="28" t="s">
        <v>189</v>
      </c>
      <c r="Y64" s="28" t="s">
        <v>190</v>
      </c>
      <c r="Z64" s="10" t="s">
        <v>180</v>
      </c>
    </row>
    <row r="65">
      <c r="A65" s="28" t="s">
        <v>315</v>
      </c>
      <c r="B65" s="28" t="s">
        <v>316</v>
      </c>
      <c r="C65" s="28" t="s">
        <v>317</v>
      </c>
      <c r="D65" s="28" t="s">
        <v>315</v>
      </c>
      <c r="E65" s="28" t="s">
        <v>318</v>
      </c>
      <c r="F65" s="28" t="s">
        <v>177</v>
      </c>
      <c r="G65" s="30">
        <v>1.0</v>
      </c>
      <c r="H65" s="28" t="s">
        <v>319</v>
      </c>
      <c r="I65" s="30">
        <v>24.17</v>
      </c>
      <c r="J65" s="30">
        <v>1.0</v>
      </c>
      <c r="K65" s="30">
        <v>1.0</v>
      </c>
      <c r="L65" s="30">
        <v>1.0</v>
      </c>
      <c r="M65" s="30">
        <v>802.0</v>
      </c>
      <c r="N65" s="28" t="s">
        <v>320</v>
      </c>
      <c r="O65" s="10" t="s">
        <v>180</v>
      </c>
      <c r="P65" s="28" t="s">
        <v>181</v>
      </c>
      <c r="Q65" s="28" t="s">
        <v>182</v>
      </c>
      <c r="R65" s="28" t="s">
        <v>183</v>
      </c>
      <c r="S65" s="28" t="s">
        <v>321</v>
      </c>
      <c r="T65" s="28" t="s">
        <v>322</v>
      </c>
      <c r="U65" s="28" t="s">
        <v>205</v>
      </c>
      <c r="V65" s="28" t="s">
        <v>187</v>
      </c>
      <c r="W65" s="28" t="s">
        <v>263</v>
      </c>
      <c r="X65" s="28" t="s">
        <v>189</v>
      </c>
      <c r="Y65" s="28" t="s">
        <v>190</v>
      </c>
      <c r="Z65" s="10" t="s">
        <v>180</v>
      </c>
    </row>
    <row r="66">
      <c r="A66" s="28" t="s">
        <v>323</v>
      </c>
      <c r="B66" s="28" t="s">
        <v>324</v>
      </c>
      <c r="C66" s="28" t="s">
        <v>325</v>
      </c>
      <c r="D66" s="28" t="s">
        <v>323</v>
      </c>
      <c r="E66" s="28" t="s">
        <v>326</v>
      </c>
      <c r="F66" s="28" t="s">
        <v>177</v>
      </c>
      <c r="G66" s="30">
        <v>1.0</v>
      </c>
      <c r="H66" s="28" t="s">
        <v>327</v>
      </c>
      <c r="I66" s="30">
        <v>0.45</v>
      </c>
      <c r="J66" s="30">
        <v>1.0</v>
      </c>
      <c r="K66" s="30">
        <v>1.0</v>
      </c>
      <c r="L66" s="30">
        <v>200.0</v>
      </c>
      <c r="M66" s="30">
        <v>38099.0</v>
      </c>
      <c r="N66" s="28" t="s">
        <v>320</v>
      </c>
      <c r="O66" s="10" t="s">
        <v>180</v>
      </c>
      <c r="P66" s="28" t="s">
        <v>202</v>
      </c>
      <c r="Q66" s="28" t="s">
        <v>295</v>
      </c>
      <c r="R66" s="28" t="s">
        <v>183</v>
      </c>
      <c r="S66" s="28" t="s">
        <v>184</v>
      </c>
      <c r="T66" s="28" t="s">
        <v>282</v>
      </c>
      <c r="U66" s="28" t="s">
        <v>328</v>
      </c>
      <c r="V66" s="28" t="s">
        <v>206</v>
      </c>
      <c r="W66" s="28" t="s">
        <v>188</v>
      </c>
      <c r="X66" s="28" t="s">
        <v>189</v>
      </c>
      <c r="Y66" s="28" t="s">
        <v>190</v>
      </c>
      <c r="Z66" s="10" t="s">
        <v>180</v>
      </c>
    </row>
    <row r="67">
      <c r="A67" s="10"/>
      <c r="B67" s="10"/>
      <c r="C67" s="10"/>
      <c r="D67" s="10"/>
      <c r="E67" s="10"/>
      <c r="F67" s="10"/>
      <c r="G67" s="10"/>
      <c r="H67" s="10"/>
      <c r="I67" s="30">
        <f>SUM(I41:I66)</f>
        <v>57.64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</sheetData>
  <hyperlinks>
    <hyperlink r:id="rId1" ref="A38"/>
    <hyperlink r:id="rId2" ref="B39"/>
  </hyperlinks>
  <drawing r:id="rId3"/>
</worksheet>
</file>